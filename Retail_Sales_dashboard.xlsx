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RAVINDHAN\Desktop\PROJECTS\"/>
    </mc:Choice>
  </mc:AlternateContent>
  <xr:revisionPtr revIDLastSave="0" documentId="13_ncr:1_{5DF84B26-689A-4FEB-8BD9-E9DE2CF5F1E9}" xr6:coauthVersionLast="47" xr6:coauthVersionMax="47" xr10:uidLastSave="{00000000-0000-0000-0000-000000000000}"/>
  <bookViews>
    <workbookView xWindow="-108" yWindow="-108" windowWidth="23256" windowHeight="12456" xr2:uid="{00000000-000D-0000-FFFF-FFFF00000000}"/>
  </bookViews>
  <sheets>
    <sheet name="dashboard" sheetId="5" r:id="rId1"/>
    <sheet name="Pivot data" sheetId="4" r:id="rId2"/>
    <sheet name="Retail_Data" sheetId="1" r:id="rId3"/>
  </sheets>
  <definedNames>
    <definedName name="Slicer_Category">#N/A</definedName>
    <definedName name="Slicer_month_nam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N11" i="1" l="1"/>
  <c r="N8" i="1"/>
  <c r="N5" i="1"/>
  <c r="N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alcChain>
</file>

<file path=xl/sharedStrings.xml><?xml version="1.0" encoding="utf-8"?>
<sst xmlns="http://schemas.openxmlformats.org/spreadsheetml/2006/main" count="3066" uniqueCount="833">
  <si>
    <t>Order_ID</t>
  </si>
  <si>
    <t>Order_Date</t>
  </si>
  <si>
    <t>Product</t>
  </si>
  <si>
    <t>Category</t>
  </si>
  <si>
    <t>Region</t>
  </si>
  <si>
    <t>Sales_Amount</t>
  </si>
  <si>
    <t>Quantity</t>
  </si>
  <si>
    <t>Profit</t>
  </si>
  <si>
    <t>Payment_Mode</t>
  </si>
  <si>
    <t>ORD0001</t>
  </si>
  <si>
    <t>2024-06-18</t>
  </si>
  <si>
    <t>Smart Watch</t>
  </si>
  <si>
    <t>Electronics</t>
  </si>
  <si>
    <t>North</t>
  </si>
  <si>
    <t>Card</t>
  </si>
  <si>
    <t>ORD0002</t>
  </si>
  <si>
    <t>2024-07-26</t>
  </si>
  <si>
    <t>T-Shirt</t>
  </si>
  <si>
    <t>Clothing</t>
  </si>
  <si>
    <t>ORD0003</t>
  </si>
  <si>
    <t>2024-08-20</t>
  </si>
  <si>
    <t>Shoes</t>
  </si>
  <si>
    <t>West</t>
  </si>
  <si>
    <t>UPI</t>
  </si>
  <si>
    <t>ORD0004</t>
  </si>
  <si>
    <t>2024-11-12</t>
  </si>
  <si>
    <t>Mobile</t>
  </si>
  <si>
    <t>South</t>
  </si>
  <si>
    <t>ORD0005</t>
  </si>
  <si>
    <t>2024-03-22</t>
  </si>
  <si>
    <t>Laptop</t>
  </si>
  <si>
    <t>ORD0006</t>
  </si>
  <si>
    <t>2024-01-23</t>
  </si>
  <si>
    <t>Bed</t>
  </si>
  <si>
    <t>Furniture</t>
  </si>
  <si>
    <t>Cash</t>
  </si>
  <si>
    <t>ORD0007</t>
  </si>
  <si>
    <t>2024-06-08</t>
  </si>
  <si>
    <t>Sugar</t>
  </si>
  <si>
    <t>Grocery</t>
  </si>
  <si>
    <t>ORD0008</t>
  </si>
  <si>
    <t>2024-07-23</t>
  </si>
  <si>
    <t>ORD0009</t>
  </si>
  <si>
    <t>2024-12-02</t>
  </si>
  <si>
    <t>Rice</t>
  </si>
  <si>
    <t>ORD0010</t>
  </si>
  <si>
    <t>2024-05-10</t>
  </si>
  <si>
    <t>ORD0011</t>
  </si>
  <si>
    <t>2024-10-28</t>
  </si>
  <si>
    <t>Headphones</t>
  </si>
  <si>
    <t>ORD0012</t>
  </si>
  <si>
    <t>2024-04-11</t>
  </si>
  <si>
    <t>ORD0013</t>
  </si>
  <si>
    <t>2024-09-19</t>
  </si>
  <si>
    <t>Jacket</t>
  </si>
  <si>
    <t>ORD0014</t>
  </si>
  <si>
    <t>2024-11-01</t>
  </si>
  <si>
    <t>East</t>
  </si>
  <si>
    <t>ORD0015</t>
  </si>
  <si>
    <t>2024-08-06</t>
  </si>
  <si>
    <t>ORD0016</t>
  </si>
  <si>
    <t>2024-08-16</t>
  </si>
  <si>
    <t>Table</t>
  </si>
  <si>
    <t>ORD0017</t>
  </si>
  <si>
    <t>2024-08-08</t>
  </si>
  <si>
    <t>ORD0018</t>
  </si>
  <si>
    <t>2024-10-26</t>
  </si>
  <si>
    <t>ORD0019</t>
  </si>
  <si>
    <t>2024-06-15</t>
  </si>
  <si>
    <t>Sofa</t>
  </si>
  <si>
    <t>ORD0020</t>
  </si>
  <si>
    <t>2024-05-11</t>
  </si>
  <si>
    <t>ORD0021</t>
  </si>
  <si>
    <t>2024-01-19</t>
  </si>
  <si>
    <t>Jeans</t>
  </si>
  <si>
    <t>ORD0022</t>
  </si>
  <si>
    <t>2024-04-04</t>
  </si>
  <si>
    <t>ORD0023</t>
  </si>
  <si>
    <t>2024-06-21</t>
  </si>
  <si>
    <t>ORD0024</t>
  </si>
  <si>
    <t>2024-10-21</t>
  </si>
  <si>
    <t>ORD0025</t>
  </si>
  <si>
    <t>2024-04-13</t>
  </si>
  <si>
    <t>ORD0026</t>
  </si>
  <si>
    <t>2024-02-02</t>
  </si>
  <si>
    <t>ORD0027</t>
  </si>
  <si>
    <t>2024-03-10</t>
  </si>
  <si>
    <t>ORD0028</t>
  </si>
  <si>
    <t>2024-08-17</t>
  </si>
  <si>
    <t>ORD0029</t>
  </si>
  <si>
    <t>2024-08-11</t>
  </si>
  <si>
    <t>ORD0030</t>
  </si>
  <si>
    <t>2024-10-20</t>
  </si>
  <si>
    <t>Oil</t>
  </si>
  <si>
    <t>ORD0031</t>
  </si>
  <si>
    <t>ORD0032</t>
  </si>
  <si>
    <t>2024-11-09</t>
  </si>
  <si>
    <t>ORD0033</t>
  </si>
  <si>
    <t>2024-07-01</t>
  </si>
  <si>
    <t>ORD0034</t>
  </si>
  <si>
    <t>2024-09-12</t>
  </si>
  <si>
    <t>ORD0035</t>
  </si>
  <si>
    <t>2024-03-29</t>
  </si>
  <si>
    <t>ORD0036</t>
  </si>
  <si>
    <t>2024-12-06</t>
  </si>
  <si>
    <t>ORD0037</t>
  </si>
  <si>
    <t>2024-11-20</t>
  </si>
  <si>
    <t>ORD0038</t>
  </si>
  <si>
    <t>2024-02-15</t>
  </si>
  <si>
    <t>Chair</t>
  </si>
  <si>
    <t>ORD0039</t>
  </si>
  <si>
    <t>2024-01-08</t>
  </si>
  <si>
    <t>ORD0040</t>
  </si>
  <si>
    <t>2024-01-13</t>
  </si>
  <si>
    <t>ORD0041</t>
  </si>
  <si>
    <t>2024-04-15</t>
  </si>
  <si>
    <t>ORD0042</t>
  </si>
  <si>
    <t>2024-07-04</t>
  </si>
  <si>
    <t>ORD0043</t>
  </si>
  <si>
    <t>2024-02-23</t>
  </si>
  <si>
    <t>ORD0044</t>
  </si>
  <si>
    <t>2024-02-16</t>
  </si>
  <si>
    <t>ORD0045</t>
  </si>
  <si>
    <t>2024-07-18</t>
  </si>
  <si>
    <t>ORD0046</t>
  </si>
  <si>
    <t>2024-11-28</t>
  </si>
  <si>
    <t>ORD0047</t>
  </si>
  <si>
    <t>2024-01-17</t>
  </si>
  <si>
    <t>ORD0048</t>
  </si>
  <si>
    <t>ORD0049</t>
  </si>
  <si>
    <t>2024-02-04</t>
  </si>
  <si>
    <t>ORD0050</t>
  </si>
  <si>
    <t>2024-09-13</t>
  </si>
  <si>
    <t>ORD0051</t>
  </si>
  <si>
    <t>2024-05-27</t>
  </si>
  <si>
    <t>ORD0052</t>
  </si>
  <si>
    <t>2024-12-16</t>
  </si>
  <si>
    <t>ORD0053</t>
  </si>
  <si>
    <t>2024-03-25</t>
  </si>
  <si>
    <t>ORD0054</t>
  </si>
  <si>
    <t>2024-11-10</t>
  </si>
  <si>
    <t>Snacks</t>
  </si>
  <si>
    <t>ORD0055</t>
  </si>
  <si>
    <t>2024-11-06</t>
  </si>
  <si>
    <t>ORD0056</t>
  </si>
  <si>
    <t>2024-05-01</t>
  </si>
  <si>
    <t>ORD0057</t>
  </si>
  <si>
    <t>ORD0058</t>
  </si>
  <si>
    <t>2024-12-26</t>
  </si>
  <si>
    <t>ORD0059</t>
  </si>
  <si>
    <t>2024-01-15</t>
  </si>
  <si>
    <t>ORD0060</t>
  </si>
  <si>
    <t>ORD0061</t>
  </si>
  <si>
    <t>ORD0062</t>
  </si>
  <si>
    <t>2024-01-21</t>
  </si>
  <si>
    <t>ORD0063</t>
  </si>
  <si>
    <t>2024-08-23</t>
  </si>
  <si>
    <t>ORD0064</t>
  </si>
  <si>
    <t>2024-07-31</t>
  </si>
  <si>
    <t>ORD0065</t>
  </si>
  <si>
    <t>2024-05-30</t>
  </si>
  <si>
    <t>ORD0066</t>
  </si>
  <si>
    <t>2024-11-13</t>
  </si>
  <si>
    <t>ORD0067</t>
  </si>
  <si>
    <t>2024-07-07</t>
  </si>
  <si>
    <t>ORD0068</t>
  </si>
  <si>
    <t>2024-06-02</t>
  </si>
  <si>
    <t>ORD0069</t>
  </si>
  <si>
    <t>2024-08-09</t>
  </si>
  <si>
    <t>ORD0070</t>
  </si>
  <si>
    <t>2024-11-15</t>
  </si>
  <si>
    <t>ORD0071</t>
  </si>
  <si>
    <t>2024-04-29</t>
  </si>
  <si>
    <t>ORD0072</t>
  </si>
  <si>
    <t>2024-11-30</t>
  </si>
  <si>
    <t>ORD0073</t>
  </si>
  <si>
    <t>2024-01-10</t>
  </si>
  <si>
    <t>ORD0074</t>
  </si>
  <si>
    <t>2024-05-02</t>
  </si>
  <si>
    <t>ORD0075</t>
  </si>
  <si>
    <t>2024-06-24</t>
  </si>
  <si>
    <t>ORD0076</t>
  </si>
  <si>
    <t>2024-08-15</t>
  </si>
  <si>
    <t>ORD0077</t>
  </si>
  <si>
    <t>2024-12-30</t>
  </si>
  <si>
    <t>ORD0078</t>
  </si>
  <si>
    <t>2024-09-16</t>
  </si>
  <si>
    <t>ORD0079</t>
  </si>
  <si>
    <t>2024-03-31</t>
  </si>
  <si>
    <t>ORD0080</t>
  </si>
  <si>
    <t>2024-06-03</t>
  </si>
  <si>
    <t>ORD0081</t>
  </si>
  <si>
    <t>2024-01-26</t>
  </si>
  <si>
    <t>ORD0082</t>
  </si>
  <si>
    <t>2024-11-19</t>
  </si>
  <si>
    <t>ORD0083</t>
  </si>
  <si>
    <t>2024-01-20</t>
  </si>
  <si>
    <t>ORD0084</t>
  </si>
  <si>
    <t>2024-09-05</t>
  </si>
  <si>
    <t>ORD0085</t>
  </si>
  <si>
    <t>ORD0086</t>
  </si>
  <si>
    <t>2024-01-28</t>
  </si>
  <si>
    <t>ORD0087</t>
  </si>
  <si>
    <t>2024-08-26</t>
  </si>
  <si>
    <t>ORD0088</t>
  </si>
  <si>
    <t>2024-01-22</t>
  </si>
  <si>
    <t>ORD0089</t>
  </si>
  <si>
    <t>2024-11-05</t>
  </si>
  <si>
    <t>ORD0090</t>
  </si>
  <si>
    <t>ORD0091</t>
  </si>
  <si>
    <t>2024-05-24</t>
  </si>
  <si>
    <t>ORD0092</t>
  </si>
  <si>
    <t>2024-11-23</t>
  </si>
  <si>
    <t>ORD0093</t>
  </si>
  <si>
    <t>2024-12-14</t>
  </si>
  <si>
    <t>ORD0094</t>
  </si>
  <si>
    <t>2024-04-10</t>
  </si>
  <si>
    <t>ORD0095</t>
  </si>
  <si>
    <t>ORD0096</t>
  </si>
  <si>
    <t>2024-07-15</t>
  </si>
  <si>
    <t>ORD0097</t>
  </si>
  <si>
    <t>2024-09-24</t>
  </si>
  <si>
    <t>ORD0098</t>
  </si>
  <si>
    <t>2024-03-16</t>
  </si>
  <si>
    <t>ORD0099</t>
  </si>
  <si>
    <t>2024-06-12</t>
  </si>
  <si>
    <t>ORD0100</t>
  </si>
  <si>
    <t>2024-07-16</t>
  </si>
  <si>
    <t>ORD0101</t>
  </si>
  <si>
    <t>2024-01-01</t>
  </si>
  <si>
    <t>ORD0102</t>
  </si>
  <si>
    <t>2024-05-14</t>
  </si>
  <si>
    <t>ORD0103</t>
  </si>
  <si>
    <t>2024-06-23</t>
  </si>
  <si>
    <t>ORD0104</t>
  </si>
  <si>
    <t>2024-10-02</t>
  </si>
  <si>
    <t>ORD0105</t>
  </si>
  <si>
    <t>2024-03-08</t>
  </si>
  <si>
    <t>ORD0106</t>
  </si>
  <si>
    <t>2024-08-14</t>
  </si>
  <si>
    <t>ORD0107</t>
  </si>
  <si>
    <t>2024-08-01</t>
  </si>
  <si>
    <t>ORD0108</t>
  </si>
  <si>
    <t>2024-06-09</t>
  </si>
  <si>
    <t>ORD0109</t>
  </si>
  <si>
    <t>2024-04-30</t>
  </si>
  <si>
    <t>ORD0110</t>
  </si>
  <si>
    <t>ORD0111</t>
  </si>
  <si>
    <t>ORD0112</t>
  </si>
  <si>
    <t>2024-05-06</t>
  </si>
  <si>
    <t>ORD0113</t>
  </si>
  <si>
    <t>2024-09-09</t>
  </si>
  <si>
    <t>ORD0114</t>
  </si>
  <si>
    <t>2024-02-25</t>
  </si>
  <si>
    <t>ORD0115</t>
  </si>
  <si>
    <t>2024-04-05</t>
  </si>
  <si>
    <t>ORD0116</t>
  </si>
  <si>
    <t>ORD0117</t>
  </si>
  <si>
    <t>2024-07-29</t>
  </si>
  <si>
    <t>ORD0118</t>
  </si>
  <si>
    <t>2024-12-19</t>
  </si>
  <si>
    <t>ORD0119</t>
  </si>
  <si>
    <t>2024-01-05</t>
  </si>
  <si>
    <t>ORD0120</t>
  </si>
  <si>
    <t>2024-06-17</t>
  </si>
  <si>
    <t>ORD0121</t>
  </si>
  <si>
    <t>2024-03-23</t>
  </si>
  <si>
    <t>ORD0122</t>
  </si>
  <si>
    <t>ORD0123</t>
  </si>
  <si>
    <t>2024-05-21</t>
  </si>
  <si>
    <t>ORD0124</t>
  </si>
  <si>
    <t>2024-05-22</t>
  </si>
  <si>
    <t>ORD0125</t>
  </si>
  <si>
    <t>ORD0126</t>
  </si>
  <si>
    <t>2024-06-26</t>
  </si>
  <si>
    <t>ORD0127</t>
  </si>
  <si>
    <t>ORD0128</t>
  </si>
  <si>
    <t>ORD0129</t>
  </si>
  <si>
    <t>2024-02-22</t>
  </si>
  <si>
    <t>ORD0130</t>
  </si>
  <si>
    <t>2024-12-11</t>
  </si>
  <si>
    <t>ORD0131</t>
  </si>
  <si>
    <t>2024-09-08</t>
  </si>
  <si>
    <t>ORD0132</t>
  </si>
  <si>
    <t>2024-12-24</t>
  </si>
  <si>
    <t>ORD0133</t>
  </si>
  <si>
    <t>2024-11-17</t>
  </si>
  <si>
    <t>ORD0134</t>
  </si>
  <si>
    <t>2024-10-18</t>
  </si>
  <si>
    <t>ORD0135</t>
  </si>
  <si>
    <t>ORD0136</t>
  </si>
  <si>
    <t>2024-02-07</t>
  </si>
  <si>
    <t>ORD0137</t>
  </si>
  <si>
    <t>2024-07-02</t>
  </si>
  <si>
    <t>ORD0138</t>
  </si>
  <si>
    <t>ORD0139</t>
  </si>
  <si>
    <t>2024-05-07</t>
  </si>
  <si>
    <t>ORD0140</t>
  </si>
  <si>
    <t>2024-12-20</t>
  </si>
  <si>
    <t>ORD0141</t>
  </si>
  <si>
    <t>2024-09-04</t>
  </si>
  <si>
    <t>ORD0142</t>
  </si>
  <si>
    <t>2024-05-28</t>
  </si>
  <si>
    <t>ORD0143</t>
  </si>
  <si>
    <t>2024-10-06</t>
  </si>
  <si>
    <t>ORD0144</t>
  </si>
  <si>
    <t>2024-12-08</t>
  </si>
  <si>
    <t>ORD0145</t>
  </si>
  <si>
    <t>2024-10-07</t>
  </si>
  <si>
    <t>ORD0146</t>
  </si>
  <si>
    <t>2024-01-11</t>
  </si>
  <si>
    <t>ORD0147</t>
  </si>
  <si>
    <t>ORD0148</t>
  </si>
  <si>
    <t>ORD0149</t>
  </si>
  <si>
    <t>2024-10-17</t>
  </si>
  <si>
    <t>ORD0150</t>
  </si>
  <si>
    <t>2024-07-24</t>
  </si>
  <si>
    <t>ORD0151</t>
  </si>
  <si>
    <t>2024-06-25</t>
  </si>
  <si>
    <t>ORD0152</t>
  </si>
  <si>
    <t>2024-11-14</t>
  </si>
  <si>
    <t>ORD0153</t>
  </si>
  <si>
    <t>2024-10-24</t>
  </si>
  <si>
    <t>ORD0154</t>
  </si>
  <si>
    <t>ORD0155</t>
  </si>
  <si>
    <t>2024-01-09</t>
  </si>
  <si>
    <t>ORD0156</t>
  </si>
  <si>
    <t>2024-05-08</t>
  </si>
  <si>
    <t>ORD0157</t>
  </si>
  <si>
    <t>2024-12-12</t>
  </si>
  <si>
    <t>ORD0158</t>
  </si>
  <si>
    <t>ORD0159</t>
  </si>
  <si>
    <t>2024-03-09</t>
  </si>
  <si>
    <t>ORD0160</t>
  </si>
  <si>
    <t>2024-08-12</t>
  </si>
  <si>
    <t>ORD0161</t>
  </si>
  <si>
    <t>2024-05-29</t>
  </si>
  <si>
    <t>ORD0162</t>
  </si>
  <si>
    <t>ORD0163</t>
  </si>
  <si>
    <t>ORD0164</t>
  </si>
  <si>
    <t>2024-02-26</t>
  </si>
  <si>
    <t>ORD0165</t>
  </si>
  <si>
    <t>2024-04-25</t>
  </si>
  <si>
    <t>ORD0166</t>
  </si>
  <si>
    <t>2024-09-26</t>
  </si>
  <si>
    <t>ORD0167</t>
  </si>
  <si>
    <t>2024-04-14</t>
  </si>
  <si>
    <t>ORD0168</t>
  </si>
  <si>
    <t>2024-11-22</t>
  </si>
  <si>
    <t>ORD0169</t>
  </si>
  <si>
    <t>2024-09-10</t>
  </si>
  <si>
    <t>ORD0170</t>
  </si>
  <si>
    <t>2024-01-07</t>
  </si>
  <si>
    <t>ORD0171</t>
  </si>
  <si>
    <t>ORD0172</t>
  </si>
  <si>
    <t>ORD0173</t>
  </si>
  <si>
    <t>2024-10-16</t>
  </si>
  <si>
    <t>ORD0174</t>
  </si>
  <si>
    <t>ORD0175</t>
  </si>
  <si>
    <t>ORD0176</t>
  </si>
  <si>
    <t>ORD0177</t>
  </si>
  <si>
    <t>ORD0178</t>
  </si>
  <si>
    <t>2024-07-10</t>
  </si>
  <si>
    <t>ORD0179</t>
  </si>
  <si>
    <t>2024-04-03</t>
  </si>
  <si>
    <t>ORD0180</t>
  </si>
  <si>
    <t>2024-09-01</t>
  </si>
  <si>
    <t>ORD0181</t>
  </si>
  <si>
    <t>2024-09-03</t>
  </si>
  <si>
    <t>ORD0182</t>
  </si>
  <si>
    <t>2024-07-03</t>
  </si>
  <si>
    <t>ORD0183</t>
  </si>
  <si>
    <t>2024-02-21</t>
  </si>
  <si>
    <t>ORD0184</t>
  </si>
  <si>
    <t>ORD0185</t>
  </si>
  <si>
    <t>ORD0186</t>
  </si>
  <si>
    <t>2024-03-05</t>
  </si>
  <si>
    <t>ORD0187</t>
  </si>
  <si>
    <t>2024-02-05</t>
  </si>
  <si>
    <t>ORD0188</t>
  </si>
  <si>
    <t>2024-07-06</t>
  </si>
  <si>
    <t>ORD0189</t>
  </si>
  <si>
    <t>2024-01-31</t>
  </si>
  <si>
    <t>ORD0190</t>
  </si>
  <si>
    <t>2024-04-27</t>
  </si>
  <si>
    <t>ORD0191</t>
  </si>
  <si>
    <t>ORD0192</t>
  </si>
  <si>
    <t>2024-10-31</t>
  </si>
  <si>
    <t>ORD0193</t>
  </si>
  <si>
    <t>ORD0194</t>
  </si>
  <si>
    <t>ORD0195</t>
  </si>
  <si>
    <t>2024-12-28</t>
  </si>
  <si>
    <t>ORD0196</t>
  </si>
  <si>
    <t>ORD0197</t>
  </si>
  <si>
    <t>ORD0198</t>
  </si>
  <si>
    <t>2024-01-06</t>
  </si>
  <si>
    <t>ORD0199</t>
  </si>
  <si>
    <t>ORD0200</t>
  </si>
  <si>
    <t>ORD0201</t>
  </si>
  <si>
    <t>ORD0202</t>
  </si>
  <si>
    <t>2024-05-20</t>
  </si>
  <si>
    <t>ORD0203</t>
  </si>
  <si>
    <t>2024-10-27</t>
  </si>
  <si>
    <t>ORD0204</t>
  </si>
  <si>
    <t>ORD0205</t>
  </si>
  <si>
    <t>2024-10-05</t>
  </si>
  <si>
    <t>ORD0206</t>
  </si>
  <si>
    <t>ORD0207</t>
  </si>
  <si>
    <t>2024-11-04</t>
  </si>
  <si>
    <t>ORD0208</t>
  </si>
  <si>
    <t>2024-10-29</t>
  </si>
  <si>
    <t>ORD0209</t>
  </si>
  <si>
    <t>2024-09-15</t>
  </si>
  <si>
    <t>ORD0210</t>
  </si>
  <si>
    <t>ORD0211</t>
  </si>
  <si>
    <t>2024-03-02</t>
  </si>
  <si>
    <t>ORD0212</t>
  </si>
  <si>
    <t>ORD0213</t>
  </si>
  <si>
    <t>2024-03-17</t>
  </si>
  <si>
    <t>ORD0214</t>
  </si>
  <si>
    <t>2024-12-10</t>
  </si>
  <si>
    <t>ORD0215</t>
  </si>
  <si>
    <t>2024-06-05</t>
  </si>
  <si>
    <t>ORD0216</t>
  </si>
  <si>
    <t>ORD0217</t>
  </si>
  <si>
    <t>ORD0218</t>
  </si>
  <si>
    <t>2024-04-26</t>
  </si>
  <si>
    <t>ORD0219</t>
  </si>
  <si>
    <t>ORD0220</t>
  </si>
  <si>
    <t>ORD0221</t>
  </si>
  <si>
    <t>ORD0222</t>
  </si>
  <si>
    <t>2024-11-08</t>
  </si>
  <si>
    <t>ORD0223</t>
  </si>
  <si>
    <t>ORD0224</t>
  </si>
  <si>
    <t>ORD0225</t>
  </si>
  <si>
    <t>ORD0226</t>
  </si>
  <si>
    <t>ORD0227</t>
  </si>
  <si>
    <t>ORD0228</t>
  </si>
  <si>
    <t>ORD0229</t>
  </si>
  <si>
    <t>ORD0230</t>
  </si>
  <si>
    <t>2024-07-22</t>
  </si>
  <si>
    <t>ORD0231</t>
  </si>
  <si>
    <t>ORD0232</t>
  </si>
  <si>
    <t>ORD0233</t>
  </si>
  <si>
    <t>ORD0234</t>
  </si>
  <si>
    <t>ORD0235</t>
  </si>
  <si>
    <t>ORD0236</t>
  </si>
  <si>
    <t>ORD0237</t>
  </si>
  <si>
    <t>2024-09-22</t>
  </si>
  <si>
    <t>ORD0238</t>
  </si>
  <si>
    <t>ORD0239</t>
  </si>
  <si>
    <t>2024-07-27</t>
  </si>
  <si>
    <t>ORD0240</t>
  </si>
  <si>
    <t>2024-01-18</t>
  </si>
  <si>
    <t>ORD0241</t>
  </si>
  <si>
    <t>2024-08-24</t>
  </si>
  <si>
    <t>ORD0242</t>
  </si>
  <si>
    <t>2024-06-07</t>
  </si>
  <si>
    <t>ORD0243</t>
  </si>
  <si>
    <t>ORD0244</t>
  </si>
  <si>
    <t>2024-08-07</t>
  </si>
  <si>
    <t>ORD0245</t>
  </si>
  <si>
    <t>ORD0246</t>
  </si>
  <si>
    <t>2024-05-18</t>
  </si>
  <si>
    <t>ORD0247</t>
  </si>
  <si>
    <t>ORD0248</t>
  </si>
  <si>
    <t>ORD0249</t>
  </si>
  <si>
    <t>ORD0250</t>
  </si>
  <si>
    <t>2024-03-07</t>
  </si>
  <si>
    <t>ORD0251</t>
  </si>
  <si>
    <t>2024-02-20</t>
  </si>
  <si>
    <t>ORD0252</t>
  </si>
  <si>
    <t>ORD0253</t>
  </si>
  <si>
    <t>ORD0254</t>
  </si>
  <si>
    <t>ORD0255</t>
  </si>
  <si>
    <t>ORD0256</t>
  </si>
  <si>
    <t>ORD0257</t>
  </si>
  <si>
    <t>2024-04-07</t>
  </si>
  <si>
    <t>ORD0258</t>
  </si>
  <si>
    <t>2024-02-03</t>
  </si>
  <si>
    <t>ORD0259</t>
  </si>
  <si>
    <t>ORD0260</t>
  </si>
  <si>
    <t>ORD0261</t>
  </si>
  <si>
    <t>ORD0262</t>
  </si>
  <si>
    <t>ORD0263</t>
  </si>
  <si>
    <t>2024-03-01</t>
  </si>
  <si>
    <t>ORD0264</t>
  </si>
  <si>
    <t>ORD0265</t>
  </si>
  <si>
    <t>2024-06-22</t>
  </si>
  <si>
    <t>ORD0266</t>
  </si>
  <si>
    <t>ORD0267</t>
  </si>
  <si>
    <t>ORD0268</t>
  </si>
  <si>
    <t>2024-07-08</t>
  </si>
  <si>
    <t>ORD0269</t>
  </si>
  <si>
    <t>2024-03-24</t>
  </si>
  <si>
    <t>ORD0270</t>
  </si>
  <si>
    <t>ORD0271</t>
  </si>
  <si>
    <t>2024-01-02</t>
  </si>
  <si>
    <t>ORD0272</t>
  </si>
  <si>
    <t>ORD0273</t>
  </si>
  <si>
    <t>2024-04-17</t>
  </si>
  <si>
    <t>ORD0274</t>
  </si>
  <si>
    <t>ORD0275</t>
  </si>
  <si>
    <t>ORD0276</t>
  </si>
  <si>
    <t>ORD0277</t>
  </si>
  <si>
    <t>ORD0278</t>
  </si>
  <si>
    <t>2024-04-09</t>
  </si>
  <si>
    <t>ORD0279</t>
  </si>
  <si>
    <t>2024-06-06</t>
  </si>
  <si>
    <t>ORD0280</t>
  </si>
  <si>
    <t>ORD0281</t>
  </si>
  <si>
    <t>ORD0282</t>
  </si>
  <si>
    <t>ORD0283</t>
  </si>
  <si>
    <t>2024-12-22</t>
  </si>
  <si>
    <t>ORD0284</t>
  </si>
  <si>
    <t>2024-07-05</t>
  </si>
  <si>
    <t>ORD0285</t>
  </si>
  <si>
    <t>2024-07-30</t>
  </si>
  <si>
    <t>ORD0286</t>
  </si>
  <si>
    <t>2024-06-10</t>
  </si>
  <si>
    <t>ORD0287</t>
  </si>
  <si>
    <t>ORD0288</t>
  </si>
  <si>
    <t>ORD0289</t>
  </si>
  <si>
    <t>2024-09-06</t>
  </si>
  <si>
    <t>ORD0290</t>
  </si>
  <si>
    <t>ORD0291</t>
  </si>
  <si>
    <t>ORD0292</t>
  </si>
  <si>
    <t>ORD0293</t>
  </si>
  <si>
    <t>ORD0294</t>
  </si>
  <si>
    <t>ORD0295</t>
  </si>
  <si>
    <t>ORD0296</t>
  </si>
  <si>
    <t>ORD0297</t>
  </si>
  <si>
    <t>2024-12-29</t>
  </si>
  <si>
    <t>ORD0298</t>
  </si>
  <si>
    <t>ORD0299</t>
  </si>
  <si>
    <t>2024-05-31</t>
  </si>
  <si>
    <t>ORD0300</t>
  </si>
  <si>
    <t>ORD0301</t>
  </si>
  <si>
    <t>2024-03-12</t>
  </si>
  <si>
    <t>ORD0302</t>
  </si>
  <si>
    <t>ORD0303</t>
  </si>
  <si>
    <t>2024-06-01</t>
  </si>
  <si>
    <t>ORD0304</t>
  </si>
  <si>
    <t>ORD0305</t>
  </si>
  <si>
    <t>ORD0306</t>
  </si>
  <si>
    <t>ORD0307</t>
  </si>
  <si>
    <t>2024-10-25</t>
  </si>
  <si>
    <t>ORD0308</t>
  </si>
  <si>
    <t>2024-04-24</t>
  </si>
  <si>
    <t>ORD0309</t>
  </si>
  <si>
    <t>ORD0310</t>
  </si>
  <si>
    <t>2024-02-14</t>
  </si>
  <si>
    <t>ORD0311</t>
  </si>
  <si>
    <t>2024-08-25</t>
  </si>
  <si>
    <t>ORD0312</t>
  </si>
  <si>
    <t>ORD0313</t>
  </si>
  <si>
    <t>ORD0314</t>
  </si>
  <si>
    <t>ORD0315</t>
  </si>
  <si>
    <t>ORD0316</t>
  </si>
  <si>
    <t>ORD0317</t>
  </si>
  <si>
    <t>2024-04-22</t>
  </si>
  <si>
    <t>ORD0318</t>
  </si>
  <si>
    <t>2024-11-25</t>
  </si>
  <si>
    <t>ORD0319</t>
  </si>
  <si>
    <t>2024-12-23</t>
  </si>
  <si>
    <t>ORD0320</t>
  </si>
  <si>
    <t>ORD0321</t>
  </si>
  <si>
    <t>2024-03-15</t>
  </si>
  <si>
    <t>ORD0322</t>
  </si>
  <si>
    <t>ORD0323</t>
  </si>
  <si>
    <t>2024-11-18</t>
  </si>
  <si>
    <t>ORD0324</t>
  </si>
  <si>
    <t>2024-02-09</t>
  </si>
  <si>
    <t>ORD0325</t>
  </si>
  <si>
    <t>ORD0326</t>
  </si>
  <si>
    <t>2024-09-11</t>
  </si>
  <si>
    <t>ORD0327</t>
  </si>
  <si>
    <t>2024-08-04</t>
  </si>
  <si>
    <t>ORD0328</t>
  </si>
  <si>
    <t>ORD0329</t>
  </si>
  <si>
    <t>2024-08-18</t>
  </si>
  <si>
    <t>ORD0330</t>
  </si>
  <si>
    <t>ORD0331</t>
  </si>
  <si>
    <t>2024-02-17</t>
  </si>
  <si>
    <t>ORD0332</t>
  </si>
  <si>
    <t>2024-11-16</t>
  </si>
  <si>
    <t>ORD0333</t>
  </si>
  <si>
    <t>2024-01-25</t>
  </si>
  <si>
    <t>ORD0334</t>
  </si>
  <si>
    <t>ORD0335</t>
  </si>
  <si>
    <t>ORD0336</t>
  </si>
  <si>
    <t>2024-04-19</t>
  </si>
  <si>
    <t>ORD0337</t>
  </si>
  <si>
    <t>ORD0338</t>
  </si>
  <si>
    <t>2024-12-21</t>
  </si>
  <si>
    <t>ORD0339</t>
  </si>
  <si>
    <t>ORD0340</t>
  </si>
  <si>
    <t>ORD0341</t>
  </si>
  <si>
    <t>2024-10-13</t>
  </si>
  <si>
    <t>ORD0342</t>
  </si>
  <si>
    <t>2024-05-26</t>
  </si>
  <si>
    <t>ORD0343</t>
  </si>
  <si>
    <t>ORD0344</t>
  </si>
  <si>
    <t>ORD0345</t>
  </si>
  <si>
    <t>ORD0346</t>
  </si>
  <si>
    <t>ORD0347</t>
  </si>
  <si>
    <t>2024-09-14</t>
  </si>
  <si>
    <t>ORD0348</t>
  </si>
  <si>
    <t>ORD0349</t>
  </si>
  <si>
    <t>ORD0350</t>
  </si>
  <si>
    <t>2024-12-17</t>
  </si>
  <si>
    <t>ORD0351</t>
  </si>
  <si>
    <t>2024-09-27</t>
  </si>
  <si>
    <t>ORD0352</t>
  </si>
  <si>
    <t>ORD0353</t>
  </si>
  <si>
    <t>2024-10-09</t>
  </si>
  <si>
    <t>ORD0354</t>
  </si>
  <si>
    <t>2024-06-29</t>
  </si>
  <si>
    <t>ORD0355</t>
  </si>
  <si>
    <t>2024-02-29</t>
  </si>
  <si>
    <t>ORD0356</t>
  </si>
  <si>
    <t>ORD0357</t>
  </si>
  <si>
    <t>2024-10-04</t>
  </si>
  <si>
    <t>ORD0358</t>
  </si>
  <si>
    <t>ORD0359</t>
  </si>
  <si>
    <t>2024-03-14</t>
  </si>
  <si>
    <t>ORD0360</t>
  </si>
  <si>
    <t>2024-03-18</t>
  </si>
  <si>
    <t>ORD0361</t>
  </si>
  <si>
    <t>2024-04-01</t>
  </si>
  <si>
    <t>ORD0362</t>
  </si>
  <si>
    <t>ORD0363</t>
  </si>
  <si>
    <t>ORD0364</t>
  </si>
  <si>
    <t>2024-08-19</t>
  </si>
  <si>
    <t>ORD0365</t>
  </si>
  <si>
    <t>ORD0366</t>
  </si>
  <si>
    <t>ORD0367</t>
  </si>
  <si>
    <t>ORD0368</t>
  </si>
  <si>
    <t>ORD0369</t>
  </si>
  <si>
    <t>ORD0370</t>
  </si>
  <si>
    <t>ORD0371</t>
  </si>
  <si>
    <t>2024-05-03</t>
  </si>
  <si>
    <t>ORD0372</t>
  </si>
  <si>
    <t>ORD0373</t>
  </si>
  <si>
    <t>ORD0374</t>
  </si>
  <si>
    <t>2024-05-09</t>
  </si>
  <si>
    <t>ORD0375</t>
  </si>
  <si>
    <t>ORD0376</t>
  </si>
  <si>
    <t>ORD0377</t>
  </si>
  <si>
    <t>ORD0378</t>
  </si>
  <si>
    <t>ORD0379</t>
  </si>
  <si>
    <t>2024-05-23</t>
  </si>
  <si>
    <t>ORD0380</t>
  </si>
  <si>
    <t>ORD0381</t>
  </si>
  <si>
    <t>ORD0382</t>
  </si>
  <si>
    <t>ORD0383</t>
  </si>
  <si>
    <t>ORD0384</t>
  </si>
  <si>
    <t>2024-08-21</t>
  </si>
  <si>
    <t>ORD0385</t>
  </si>
  <si>
    <t>ORD0386</t>
  </si>
  <si>
    <t>ORD0387</t>
  </si>
  <si>
    <t>ORD0388</t>
  </si>
  <si>
    <t>ORD0389</t>
  </si>
  <si>
    <t>ORD0390</t>
  </si>
  <si>
    <t>ORD0391</t>
  </si>
  <si>
    <t>ORD0392</t>
  </si>
  <si>
    <t>2024-10-01</t>
  </si>
  <si>
    <t>ORD0393</t>
  </si>
  <si>
    <t>ORD0394</t>
  </si>
  <si>
    <t>2024-11-26</t>
  </si>
  <si>
    <t>ORD0395</t>
  </si>
  <si>
    <t>ORD0396</t>
  </si>
  <si>
    <t>2024-04-08</t>
  </si>
  <si>
    <t>ORD0397</t>
  </si>
  <si>
    <t>ORD0398</t>
  </si>
  <si>
    <t>ORD0399</t>
  </si>
  <si>
    <t>ORD0400</t>
  </si>
  <si>
    <t>ORD0401</t>
  </si>
  <si>
    <t>2024-06-13</t>
  </si>
  <si>
    <t>ORD0402</t>
  </si>
  <si>
    <t>ORD0403</t>
  </si>
  <si>
    <t>ORD0404</t>
  </si>
  <si>
    <t>2024-03-13</t>
  </si>
  <si>
    <t>ORD0405</t>
  </si>
  <si>
    <t>2024-11-02</t>
  </si>
  <si>
    <t>ORD0406</t>
  </si>
  <si>
    <t>ORD0407</t>
  </si>
  <si>
    <t>ORD0408</t>
  </si>
  <si>
    <t>ORD0409</t>
  </si>
  <si>
    <t>ORD0410</t>
  </si>
  <si>
    <t>ORD0411</t>
  </si>
  <si>
    <t>2024-10-08</t>
  </si>
  <si>
    <t>ORD0412</t>
  </si>
  <si>
    <t>ORD0413</t>
  </si>
  <si>
    <t>ORD0414</t>
  </si>
  <si>
    <t>2024-11-03</t>
  </si>
  <si>
    <t>ORD0415</t>
  </si>
  <si>
    <t>2024-02-24</t>
  </si>
  <si>
    <t>ORD0416</t>
  </si>
  <si>
    <t>ORD0417</t>
  </si>
  <si>
    <t>2024-08-02</t>
  </si>
  <si>
    <t>ORD0418</t>
  </si>
  <si>
    <t>2024-09-25</t>
  </si>
  <si>
    <t>ORD0419</t>
  </si>
  <si>
    <t>2024-09-18</t>
  </si>
  <si>
    <t>ORD0420</t>
  </si>
  <si>
    <t>2024-12-07</t>
  </si>
  <si>
    <t>ORD0421</t>
  </si>
  <si>
    <t>ORD0422</t>
  </si>
  <si>
    <t>2024-11-29</t>
  </si>
  <si>
    <t>ORD0423</t>
  </si>
  <si>
    <t>ORD0424</t>
  </si>
  <si>
    <t>ORD0425</t>
  </si>
  <si>
    <t>ORD0426</t>
  </si>
  <si>
    <t>2024-03-06</t>
  </si>
  <si>
    <t>ORD0427</t>
  </si>
  <si>
    <t>ORD0428</t>
  </si>
  <si>
    <t>ORD0429</t>
  </si>
  <si>
    <t>ORD0430</t>
  </si>
  <si>
    <t>ORD0431</t>
  </si>
  <si>
    <t>2024-05-13</t>
  </si>
  <si>
    <t>ORD0432</t>
  </si>
  <si>
    <t>ORD0433</t>
  </si>
  <si>
    <t>ORD0434</t>
  </si>
  <si>
    <t>ORD0435</t>
  </si>
  <si>
    <t>2024-02-08</t>
  </si>
  <si>
    <t>ORD0436</t>
  </si>
  <si>
    <t>2024-05-19</t>
  </si>
  <si>
    <t>ORD0437</t>
  </si>
  <si>
    <t>2024-09-17</t>
  </si>
  <si>
    <t>ORD0438</t>
  </si>
  <si>
    <t>2024-06-16</t>
  </si>
  <si>
    <t>ORD0439</t>
  </si>
  <si>
    <t>2024-01-04</t>
  </si>
  <si>
    <t>ORD0440</t>
  </si>
  <si>
    <t>2024-07-20</t>
  </si>
  <si>
    <t>ORD0441</t>
  </si>
  <si>
    <t>ORD0442</t>
  </si>
  <si>
    <t>ORD0443</t>
  </si>
  <si>
    <t>ORD0444</t>
  </si>
  <si>
    <t>ORD0445</t>
  </si>
  <si>
    <t>ORD0446</t>
  </si>
  <si>
    <t>ORD0447</t>
  </si>
  <si>
    <t>ORD0448</t>
  </si>
  <si>
    <t>ORD0449</t>
  </si>
  <si>
    <t>2024-05-05</t>
  </si>
  <si>
    <t>ORD0450</t>
  </si>
  <si>
    <t>ORD0451</t>
  </si>
  <si>
    <t>2024-12-04</t>
  </si>
  <si>
    <t>ORD0452</t>
  </si>
  <si>
    <t>ORD0453</t>
  </si>
  <si>
    <t>ORD0454</t>
  </si>
  <si>
    <t>ORD0455</t>
  </si>
  <si>
    <t>ORD0456</t>
  </si>
  <si>
    <t>2024-10-03</t>
  </si>
  <si>
    <t>ORD0457</t>
  </si>
  <si>
    <t>2024-02-13</t>
  </si>
  <si>
    <t>ORD0458</t>
  </si>
  <si>
    <t>2024-10-12</t>
  </si>
  <si>
    <t>ORD0459</t>
  </si>
  <si>
    <t>ORD0460</t>
  </si>
  <si>
    <t>ORD0461</t>
  </si>
  <si>
    <t>ORD0462</t>
  </si>
  <si>
    <t>ORD0463</t>
  </si>
  <si>
    <t>ORD0464</t>
  </si>
  <si>
    <t>ORD0465</t>
  </si>
  <si>
    <t>ORD0466</t>
  </si>
  <si>
    <t>2024-04-21</t>
  </si>
  <si>
    <t>ORD0467</t>
  </si>
  <si>
    <t>ORD0468</t>
  </si>
  <si>
    <t>ORD0469</t>
  </si>
  <si>
    <t>ORD0470</t>
  </si>
  <si>
    <t>ORD0471</t>
  </si>
  <si>
    <t>2024-04-20</t>
  </si>
  <si>
    <t>ORD0472</t>
  </si>
  <si>
    <t>ORD0473</t>
  </si>
  <si>
    <t>ORD0474</t>
  </si>
  <si>
    <t>ORD0475</t>
  </si>
  <si>
    <t>ORD0476</t>
  </si>
  <si>
    <t>ORD0477</t>
  </si>
  <si>
    <t>ORD0478</t>
  </si>
  <si>
    <t>2024-06-19</t>
  </si>
  <si>
    <t>ORD0479</t>
  </si>
  <si>
    <t>ORD0480</t>
  </si>
  <si>
    <t>ORD0481</t>
  </si>
  <si>
    <t>ORD0482</t>
  </si>
  <si>
    <t>2024-07-11</t>
  </si>
  <si>
    <t>ORD0483</t>
  </si>
  <si>
    <t>2024-08-10</t>
  </si>
  <si>
    <t>ORD0484</t>
  </si>
  <si>
    <t>ORD0485</t>
  </si>
  <si>
    <t>ORD0486</t>
  </si>
  <si>
    <t>ORD0487</t>
  </si>
  <si>
    <t>ORD0488</t>
  </si>
  <si>
    <t>ORD0489</t>
  </si>
  <si>
    <t>ORD0490</t>
  </si>
  <si>
    <t>ORD0491</t>
  </si>
  <si>
    <t>ORD0492</t>
  </si>
  <si>
    <t>2024-06-27</t>
  </si>
  <si>
    <t>ORD0493</t>
  </si>
  <si>
    <t>ORD0494</t>
  </si>
  <si>
    <t>ORD0495</t>
  </si>
  <si>
    <t>ORD0496</t>
  </si>
  <si>
    <t>2024-05-16</t>
  </si>
  <si>
    <t>ORD0497</t>
  </si>
  <si>
    <t>ORD0498</t>
  </si>
  <si>
    <t>ORD0499</t>
  </si>
  <si>
    <t>2024-08-30</t>
  </si>
  <si>
    <t>ORD0500</t>
  </si>
  <si>
    <t>Sum of Sales_Amount</t>
  </si>
  <si>
    <t>Sum of Profit</t>
  </si>
  <si>
    <t>Sum of Quantity</t>
  </si>
  <si>
    <t>Count of Order_ID</t>
  </si>
  <si>
    <t>Row Labels</t>
  </si>
  <si>
    <t>Grand Total</t>
  </si>
  <si>
    <t>year</t>
  </si>
  <si>
    <t>month_name</t>
  </si>
  <si>
    <t>Jan</t>
  </si>
  <si>
    <t>Feb</t>
  </si>
  <si>
    <t>Mar</t>
  </si>
  <si>
    <t>Apr</t>
  </si>
  <si>
    <t>May</t>
  </si>
  <si>
    <t>Jun</t>
  </si>
  <si>
    <t>Jul</t>
  </si>
  <si>
    <t>Aug</t>
  </si>
  <si>
    <t>Sep</t>
  </si>
  <si>
    <t>Oct</t>
  </si>
  <si>
    <t>Nov</t>
  </si>
  <si>
    <t>Dec</t>
  </si>
  <si>
    <t>TOTAL SALES</t>
  </si>
  <si>
    <t>TOTAL PROFIT</t>
  </si>
  <si>
    <t>TOTAL QUANTITY</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</si>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</sst>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8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data!PivotTable2</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rgbClr val="00B0F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rgbClr val="00B0F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718029362501001E-2"/>
              <c:y val="-2.9203957951937021E-2"/>
            </c:manualLayout>
          </c:layout>
          <c:spPr>
            <a:solidFill>
              <a:srgbClr val="00B0F0"/>
            </a:solid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lt1"/>
                  </a:solidFill>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4.446785716030776E-2"/>
                  <c:h val="3.1016399250694632E-2"/>
                </c:manualLayout>
              </c15:layout>
            </c:ext>
          </c:extLst>
        </c:dLbl>
      </c:pivotFmt>
      <c:pivotFmt>
        <c:idx val="4"/>
        <c:spPr>
          <a:pattFill prst="ltUpDiag">
            <a:fgClr>
              <a:schemeClr val="accent1"/>
            </a:fgClr>
            <a:bgClr>
              <a:schemeClr val="lt1"/>
            </a:bgClr>
          </a:pattFill>
          <a:ln w="34925" cap="rnd">
            <a:solidFill>
              <a:srgbClr val="00B0F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rgbClr val="00B0F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718029362501001E-2"/>
              <c:y val="-2.9203957951937021E-2"/>
            </c:manualLayout>
          </c:layout>
          <c:spPr>
            <a:solidFill>
              <a:srgbClr val="00B0F0"/>
            </a:solid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lt1"/>
                  </a:solidFill>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4.446785716030776E-2"/>
                  <c:h val="3.1016399250694632E-2"/>
                </c:manualLayout>
              </c15:layout>
            </c:ext>
          </c:extLst>
        </c:dLbl>
      </c:pivotFmt>
      <c:pivotFmt>
        <c:idx val="6"/>
        <c:spPr>
          <a:ln w="34925" cap="rnd">
            <a:solidFill>
              <a:srgbClr val="00B0F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rgbClr val="00B0F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5806225035219456E-2"/>
              <c:y val="-4.3903914800822265E-2"/>
            </c:manualLayout>
          </c:layout>
          <c:spPr>
            <a:solidFill>
              <a:srgbClr val="00B0F0"/>
            </a:solid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700639300451685"/>
                  <c:h val="8.9816043020908551E-2"/>
                </c:manualLayout>
              </c15:layout>
            </c:ext>
          </c:extLst>
        </c:dLbl>
      </c:pivotFmt>
    </c:pivotFmts>
    <c:plotArea>
      <c:layout>
        <c:manualLayout>
          <c:layoutTarget val="inner"/>
          <c:xMode val="edge"/>
          <c:yMode val="edge"/>
          <c:x val="2.2469548318650757E-2"/>
          <c:y val="9.2662996196637842E-2"/>
          <c:w val="0.88782946803298235"/>
          <c:h val="0.78292086454240783"/>
        </c:manualLayout>
      </c:layout>
      <c:lineChart>
        <c:grouping val="standard"/>
        <c:varyColors val="0"/>
        <c:ser>
          <c:idx val="0"/>
          <c:order val="0"/>
          <c:tx>
            <c:strRef>
              <c:f>'Pivot data'!$B$15</c:f>
              <c:strCache>
                <c:ptCount val="1"/>
                <c:pt idx="0">
                  <c:v>Total</c:v>
                </c:pt>
              </c:strCache>
            </c:strRef>
          </c:tx>
          <c:spPr>
            <a:ln w="34925" cap="rnd">
              <a:solidFill>
                <a:srgbClr val="00B0F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11"/>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0-5F4C-42CE-94D1-4724E0237E5F}"/>
              </c:ext>
            </c:extLst>
          </c:dPt>
          <c:dLbls>
            <c:dLbl>
              <c:idx val="11"/>
              <c:layout>
                <c:manualLayout>
                  <c:x val="-3.5806225035219456E-2"/>
                  <c:y val="-4.3903914800822265E-2"/>
                </c:manualLayout>
              </c:layout>
              <c:spPr>
                <a:solidFill>
                  <a:srgbClr val="00B0F0"/>
                </a:solid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700639300451685"/>
                      <c:h val="8.9816043020908551E-2"/>
                    </c:manualLayout>
                  </c15:layout>
                </c:ext>
                <c:ext xmlns:c16="http://schemas.microsoft.com/office/drawing/2014/chart" uri="{C3380CC4-5D6E-409C-BE32-E72D297353CC}">
                  <c16:uniqueId val="{00000000-5F4C-42CE-94D1-4724E0237E5F}"/>
                </c:ext>
              </c:extLst>
            </c:dLbl>
            <c:spPr>
              <a:solidFill>
                <a:srgbClr val="00B0F0"/>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data'!$A$16:$A$29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'Pivot data'!$B$16:$B$29</c:f>
              <c:numCache>
                <c:formatCode>0</c:formatCode>
                <c:ptCount val="12"/>
                <c:pt idx="0">
                  <c:v>1134548.6200000001</c:v>
                </c:pt>
                <c:pt idx="1">
                  <c:v>956219.40999999968</c:v>
                </c:pt>
                <c:pt idx="2">
                  <c:v>936662.63</c:v>
                </c:pt>
                <c:pt idx="3">
                  <c:v>955437.09</c:v>
                </c:pt>
                <c:pt idx="4">
                  <c:v>1204427.3599999999</c:v>
                </c:pt>
                <c:pt idx="5">
                  <c:v>1138282.6099999999</c:v>
                </c:pt>
                <c:pt idx="6">
                  <c:v>816571.71999999986</c:v>
                </c:pt>
                <c:pt idx="7">
                  <c:v>1029204.4200000002</c:v>
                </c:pt>
                <c:pt idx="8">
                  <c:v>1017369.7300000001</c:v>
                </c:pt>
                <c:pt idx="9">
                  <c:v>896086.05999999971</c:v>
                </c:pt>
                <c:pt idx="10">
                  <c:v>1040084.57</c:v>
                </c:pt>
                <c:pt idx="11">
                  <c:v>1305550.8800000004</c:v>
                </c:pt>
              </c:numCache>
            </c:numRef>
          </c:val>
          <c:smooth val="0"/>
          <c:extLst>
            <c:ext xmlns:c16="http://schemas.microsoft.com/office/drawing/2014/chart" uri="{C3380CC4-5D6E-409C-BE32-E72D297353CC}">
              <c16:uniqueId val="{00000001-5F4C-42CE-94D1-4724E0237E5F}"/>
            </c:ext>
          </c:extLst>
        </c:ser>
        <c:dLbls>
          <c:dLblPos val="t"/>
          <c:showLegendKey val="0"/>
          <c:showVal val="1"/>
          <c:showCatName val="0"/>
          <c:showSerName val="0"/>
          <c:showPercent val="0"/>
          <c:showBubbleSize val="0"/>
        </c:dLbls>
        <c:dropLines>
          <c:spPr>
            <a:ln w="9525" cap="flat" cmpd="sng" algn="ctr">
              <a:solidFill>
                <a:srgbClr val="00B0F0"/>
              </a:solidFill>
              <a:round/>
            </a:ln>
            <a:effectLst/>
          </c:spPr>
        </c:dropLines>
        <c:marker val="1"/>
        <c:smooth val="0"/>
        <c:axId val="694825743"/>
        <c:axId val="694823343"/>
      </c:lineChart>
      <c:catAx>
        <c:axId val="694825743"/>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bg1"/>
            </a:solidFill>
            <a:round/>
          </a:ln>
          <a:effectLst/>
        </c:spPr>
        <c:txPr>
          <a:bodyPr rot="-60000000" spcFirstLastPara="1" vertOverflow="ellipsis" vert="horz" wrap="square" anchor="ctr" anchorCtr="1"/>
          <a:lstStyle/>
          <a:p>
            <a:pPr>
              <a:defRPr sz="1200" b="1" i="0" u="none" strike="noStrike" kern="1200" spc="1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694823343"/>
        <c:crosses val="autoZero"/>
        <c:auto val="1"/>
        <c:lblAlgn val="ctr"/>
        <c:lblOffset val="100"/>
        <c:noMultiLvlLbl val="0"/>
      </c:catAx>
      <c:valAx>
        <c:axId val="694823343"/>
        <c:scaling>
          <c:orientation val="minMax"/>
        </c:scaling>
        <c:delete val="1"/>
        <c:axPos val="l"/>
        <c:numFmt formatCode="0" sourceLinked="1"/>
        <c:majorTickMark val="none"/>
        <c:minorTickMark val="none"/>
        <c:tickLblPos val="nextTo"/>
        <c:crossAx val="69482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data!PivotTable6</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pivotFmt>
      <c:pivotFmt>
        <c:idx val="4"/>
        <c:spPr>
          <a:solidFill>
            <a:schemeClr val="accent1"/>
          </a:solidFill>
          <a:ln>
            <a:noFill/>
          </a:ln>
          <a:effectLst/>
        </c:spPr>
        <c:dLbl>
          <c:idx val="0"/>
          <c:layout>
            <c:manualLayout>
              <c:x val="9.2109686258654996E-2"/>
              <c:y val="-2.02819737330873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378823138101615"/>
                  <c:h val="6.3178507879147541E-2"/>
                </c:manualLayout>
              </c15:layout>
            </c:ext>
          </c:extLst>
        </c:dLbl>
      </c:pivotFmt>
      <c:pivotFmt>
        <c:idx val="5"/>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3421175714955"/>
                  <c:h val="8.3460481612234835E-2"/>
                </c:manualLayout>
              </c15:layout>
            </c:ext>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3421175714955"/>
                  <c:h val="8.3460481612234835E-2"/>
                </c:manualLayout>
              </c15:layout>
            </c:ext>
          </c:extLst>
        </c:dLbl>
      </c:pivotFmt>
      <c:pivotFmt>
        <c:idx val="8"/>
        <c:spPr>
          <a:solidFill>
            <a:schemeClr val="accent1"/>
          </a:solidFill>
          <a:ln>
            <a:noFill/>
          </a:ln>
          <a:effectLst/>
        </c:spPr>
        <c:dLbl>
          <c:idx val="0"/>
          <c:layout>
            <c:manualLayout>
              <c:x val="9.2109686258654996E-2"/>
              <c:y val="-2.02819737330873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378823138101615"/>
                  <c:h val="6.3178507879147541E-2"/>
                </c:manualLayout>
              </c15:layout>
            </c:ext>
          </c:extLst>
        </c:dLbl>
      </c:pivotFmt>
      <c:pivotFmt>
        <c:idx val="9"/>
        <c:spPr>
          <a:solidFill>
            <a:schemeClr val="accent1"/>
          </a:solidFill>
          <a:ln>
            <a:noFill/>
          </a:ln>
          <a:effectLst/>
        </c:spPr>
        <c:marker>
          <c:symbol val="none"/>
        </c:marker>
        <c:dLbl>
          <c:idx val="0"/>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3421175714955"/>
                  <c:h val="8.3460481612234835E-2"/>
                </c:manualLayout>
              </c15:layout>
            </c:ext>
          </c:extLst>
        </c:dLbl>
      </c:pivotFmt>
      <c:pivotFmt>
        <c:idx val="11"/>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378823138101615"/>
                  <c:h val="6.3178507879147541E-2"/>
                </c:manualLayout>
              </c15:layout>
            </c:ext>
          </c:extLst>
        </c:dLbl>
      </c:pivotFmt>
    </c:pivotFmts>
    <c:plotArea>
      <c:layout>
        <c:manualLayout>
          <c:layoutTarget val="inner"/>
          <c:xMode val="edge"/>
          <c:yMode val="edge"/>
          <c:x val="9.5565727997732733E-2"/>
          <c:y val="2.684087926509186E-2"/>
          <c:w val="0.90443427200226723"/>
          <c:h val="0.9711399889280119"/>
        </c:manualLayout>
      </c:layout>
      <c:barChart>
        <c:barDir val="bar"/>
        <c:grouping val="clustered"/>
        <c:varyColors val="0"/>
        <c:ser>
          <c:idx val="0"/>
          <c:order val="0"/>
          <c:tx>
            <c:strRef>
              <c:f>'Pivot data'!$M$23</c:f>
              <c:strCache>
                <c:ptCount val="1"/>
                <c:pt idx="0">
                  <c:v>Total</c:v>
                </c:pt>
              </c:strCache>
            </c:strRef>
          </c:tx>
          <c:spPr>
            <a:solidFill>
              <a:schemeClr val="accent1"/>
            </a:solidFill>
            <a:ln>
              <a:noFill/>
            </a:ln>
            <a:effectLst/>
          </c:spPr>
          <c:invertIfNegative val="0"/>
          <c:dLbls>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data'!$L$24:$L$33</c:f>
              <c:strCache>
                <c:ptCount val="9"/>
                <c:pt idx="0">
                  <c:v>Bed</c:v>
                </c:pt>
                <c:pt idx="1">
                  <c:v>Chair</c:v>
                </c:pt>
                <c:pt idx="2">
                  <c:v>Mobile</c:v>
                </c:pt>
                <c:pt idx="3">
                  <c:v>Rice</c:v>
                </c:pt>
                <c:pt idx="4">
                  <c:v>Shoes</c:v>
                </c:pt>
                <c:pt idx="5">
                  <c:v>Snacks</c:v>
                </c:pt>
                <c:pt idx="6">
                  <c:v>Sofa</c:v>
                </c:pt>
                <c:pt idx="7">
                  <c:v>Sugar</c:v>
                </c:pt>
                <c:pt idx="8">
                  <c:v>T-Shirt</c:v>
                </c:pt>
              </c:strCache>
            </c:strRef>
          </c:cat>
          <c:val>
            <c:numRef>
              <c:f>'Pivot data'!$M$24:$M$33</c:f>
              <c:numCache>
                <c:formatCode>0</c:formatCode>
                <c:ptCount val="9"/>
                <c:pt idx="0">
                  <c:v>1107312.9500000002</c:v>
                </c:pt>
                <c:pt idx="1">
                  <c:v>1065682.32</c:v>
                </c:pt>
                <c:pt idx="2">
                  <c:v>720730.59000000008</c:v>
                </c:pt>
                <c:pt idx="3">
                  <c:v>907558.1399999999</c:v>
                </c:pt>
                <c:pt idx="4">
                  <c:v>984813.33000000007</c:v>
                </c:pt>
                <c:pt idx="5">
                  <c:v>552415.42999999993</c:v>
                </c:pt>
                <c:pt idx="6">
                  <c:v>967320.49000000022</c:v>
                </c:pt>
                <c:pt idx="7">
                  <c:v>956584.93</c:v>
                </c:pt>
                <c:pt idx="8">
                  <c:v>974127.70000000007</c:v>
                </c:pt>
              </c:numCache>
            </c:numRef>
          </c:val>
          <c:extLst>
            <c:ext xmlns:c16="http://schemas.microsoft.com/office/drawing/2014/chart" uri="{C3380CC4-5D6E-409C-BE32-E72D297353CC}">
              <c16:uniqueId val="{00000002-388B-41B1-8AB4-BE764482D8E8}"/>
            </c:ext>
          </c:extLst>
        </c:ser>
        <c:dLbls>
          <c:showLegendKey val="0"/>
          <c:showVal val="0"/>
          <c:showCatName val="0"/>
          <c:showSerName val="0"/>
          <c:showPercent val="0"/>
          <c:showBubbleSize val="0"/>
        </c:dLbls>
        <c:gapWidth val="79"/>
        <c:axId val="698062751"/>
        <c:axId val="698063231"/>
      </c:barChart>
      <c:catAx>
        <c:axId val="698062751"/>
        <c:scaling>
          <c:orientation val="minMax"/>
        </c:scaling>
        <c:delete val="0"/>
        <c:axPos val="l"/>
        <c:numFmt formatCode="General" sourceLinked="1"/>
        <c:majorTickMark val="out"/>
        <c:minorTickMark val="none"/>
        <c:tickLblPos val="nextTo"/>
        <c:spPr>
          <a:noFill/>
          <a:ln w="0" cap="rnd"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698063231"/>
        <c:crosses val="autoZero"/>
        <c:auto val="0"/>
        <c:lblAlgn val="ctr"/>
        <c:lblOffset val="100"/>
        <c:noMultiLvlLbl val="0"/>
      </c:catAx>
      <c:valAx>
        <c:axId val="698063231"/>
        <c:scaling>
          <c:orientation val="minMax"/>
        </c:scaling>
        <c:delete val="1"/>
        <c:axPos val="b"/>
        <c:numFmt formatCode="0" sourceLinked="1"/>
        <c:majorTickMark val="out"/>
        <c:minorTickMark val="none"/>
        <c:tickLblPos val="nextTo"/>
        <c:crossAx val="69806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data!PivotTable3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091419173841559E-2"/>
          <c:y val="4.1033052726995381E-2"/>
          <c:w val="0.9783324341070575"/>
          <c:h val="0.85224013918686414"/>
        </c:manualLayout>
      </c:layout>
      <c:barChart>
        <c:barDir val="col"/>
        <c:grouping val="clustered"/>
        <c:varyColors val="0"/>
        <c:ser>
          <c:idx val="0"/>
          <c:order val="0"/>
          <c:tx>
            <c:strRef>
              <c:f>'Pivot data'!$H$1</c:f>
              <c:strCache>
                <c:ptCount val="1"/>
                <c:pt idx="0">
                  <c:v>Total</c:v>
                </c:pt>
              </c:strCache>
            </c:strRef>
          </c:tx>
          <c:spPr>
            <a:solidFill>
              <a:schemeClr val="accent1"/>
            </a:solidFill>
            <a:ln>
              <a:noFill/>
            </a:ln>
            <a:effectLst/>
          </c:spPr>
          <c:invertIfNegative val="0"/>
          <c:dLbls>
            <c:spPr>
              <a:solidFill>
                <a:srgbClr val="00B0F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data'!$G$2:$G$6</c:f>
              <c:strCache>
                <c:ptCount val="4"/>
                <c:pt idx="0">
                  <c:v>Clothing</c:v>
                </c:pt>
                <c:pt idx="1">
                  <c:v>Electronics</c:v>
                </c:pt>
                <c:pt idx="2">
                  <c:v>Furniture</c:v>
                </c:pt>
                <c:pt idx="3">
                  <c:v>Grocery</c:v>
                </c:pt>
              </c:strCache>
            </c:strRef>
          </c:cat>
          <c:val>
            <c:numRef>
              <c:f>'Pivot data'!$H$2:$H$6</c:f>
              <c:numCache>
                <c:formatCode>0</c:formatCode>
                <c:ptCount val="4"/>
                <c:pt idx="0">
                  <c:v>3058288.0400000019</c:v>
                </c:pt>
                <c:pt idx="1">
                  <c:v>2652212.169999999</c:v>
                </c:pt>
                <c:pt idx="2">
                  <c:v>3663776.7900000019</c:v>
                </c:pt>
                <c:pt idx="3">
                  <c:v>3056168.1000000015</c:v>
                </c:pt>
              </c:numCache>
            </c:numRef>
          </c:val>
          <c:extLst>
            <c:ext xmlns:c16="http://schemas.microsoft.com/office/drawing/2014/chart" uri="{C3380CC4-5D6E-409C-BE32-E72D297353CC}">
              <c16:uniqueId val="{00000000-9444-4DD8-A40E-2AAA2EC6DEEE}"/>
            </c:ext>
          </c:extLst>
        </c:ser>
        <c:dLbls>
          <c:dLblPos val="outEnd"/>
          <c:showLegendKey val="0"/>
          <c:showVal val="1"/>
          <c:showCatName val="0"/>
          <c:showSerName val="0"/>
          <c:showPercent val="0"/>
          <c:showBubbleSize val="0"/>
        </c:dLbls>
        <c:gapWidth val="219"/>
        <c:overlap val="-27"/>
        <c:axId val="709323743"/>
        <c:axId val="709320383"/>
      </c:barChart>
      <c:catAx>
        <c:axId val="709323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709320383"/>
        <c:crosses val="autoZero"/>
        <c:auto val="1"/>
        <c:lblAlgn val="ctr"/>
        <c:lblOffset val="100"/>
        <c:noMultiLvlLbl val="0"/>
      </c:catAx>
      <c:valAx>
        <c:axId val="709320383"/>
        <c:scaling>
          <c:orientation val="minMax"/>
        </c:scaling>
        <c:delete val="1"/>
        <c:axPos val="l"/>
        <c:numFmt formatCode="0" sourceLinked="1"/>
        <c:majorTickMark val="out"/>
        <c:minorTickMark val="none"/>
        <c:tickLblPos val="nextTo"/>
        <c:crossAx val="70932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[Retail_Sales.xlsx]Pivot data!PivotTable4</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823753280839896"/>
                  <c:h val="0.11673082531350248"/>
                </c:manualLayout>
              </c15:layout>
            </c:ext>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52209098862642"/>
                  <c:h val="0.15839749198016911"/>
                </c:manualLayout>
              </c15:layout>
            </c:ext>
          </c:extLst>
        </c:dLbl>
      </c:pivotFmt>
      <c:pivotFmt>
        <c:idx val="9"/>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117279090113736"/>
                  <c:h val="0.14450860309128025"/>
                </c:manualLayout>
              </c15:layout>
            </c:ext>
          </c:extLst>
        </c:dLbl>
      </c:pivotFmt>
      <c:pivotFmt>
        <c:idx val="1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51202974628173"/>
                  <c:h val="0.14450860309128025"/>
                </c:manualLayout>
              </c15:layout>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823753280839896"/>
                  <c:h val="0.11673082531350248"/>
                </c:manualLayout>
              </c15:layout>
            </c:ext>
          </c:extLst>
        </c:dLbl>
      </c:pivotFmt>
      <c:pivotFmt>
        <c:idx val="1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52209098862642"/>
                  <c:h val="0.15839749198016911"/>
                </c:manualLayout>
              </c15:layout>
            </c:ext>
          </c:extLst>
        </c:dLbl>
      </c:pivotFmt>
      <c:pivotFmt>
        <c:idx val="1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117279090113736"/>
                  <c:h val="0.14450860309128025"/>
                </c:manualLayout>
              </c15:layout>
            </c:ext>
          </c:extLst>
        </c:dLbl>
      </c:pivotFmt>
      <c:pivotFmt>
        <c:idx val="1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51202974628173"/>
                  <c:h val="0.14450860309128025"/>
                </c:manualLayout>
              </c15:layout>
            </c:ext>
          </c:extLst>
        </c:dLbl>
      </c:pivotFmt>
      <c:pivotFmt>
        <c:idx val="16"/>
        <c:spPr>
          <a:solidFill>
            <a:schemeClr val="accent1"/>
          </a:solidFill>
          <a:ln w="19050">
            <a:solidFill>
              <a:schemeClr val="lt1"/>
            </a:solidFill>
          </a:ln>
          <a:effectLst/>
        </c:spPr>
        <c:marker>
          <c:symbol val="none"/>
        </c:marker>
        <c:dLbl>
          <c:idx val="0"/>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7.1216755453787847E-2"/>
              <c:y val="0.11998977296787672"/>
            </c:manualLayout>
          </c:layout>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823757564429073"/>
                  <c:h val="0.17152518606407074"/>
                </c:manualLayout>
              </c15:layout>
            </c:ext>
          </c:extLst>
        </c:dLbl>
      </c:pivotFmt>
      <c:pivotFmt>
        <c:idx val="18"/>
        <c:spPr>
          <a:solidFill>
            <a:schemeClr val="accent1"/>
          </a:solidFill>
          <a:ln w="19050">
            <a:solidFill>
              <a:schemeClr val="lt1"/>
            </a:solidFill>
          </a:ln>
          <a:effectLst/>
        </c:spPr>
        <c:dLbl>
          <c:idx val="0"/>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52209098862642"/>
                  <c:h val="0.15839749198016911"/>
                </c:manualLayout>
              </c15:layout>
            </c:ext>
          </c:extLst>
        </c:dLbl>
      </c:pivotFmt>
      <c:pivotFmt>
        <c:idx val="19"/>
        <c:spPr>
          <a:solidFill>
            <a:schemeClr val="accent1"/>
          </a:solidFill>
          <a:ln w="19050">
            <a:solidFill>
              <a:schemeClr val="lt1"/>
            </a:solidFill>
          </a:ln>
          <a:effectLst/>
        </c:spPr>
        <c:dLbl>
          <c:idx val="0"/>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117279090113736"/>
                  <c:h val="0.14450860309128025"/>
                </c:manualLayout>
              </c15:layout>
            </c:ext>
          </c:extLst>
        </c:dLbl>
      </c:pivotFmt>
      <c:pivotFmt>
        <c:idx val="20"/>
        <c:spPr>
          <a:solidFill>
            <a:schemeClr val="accent1"/>
          </a:solidFill>
          <a:ln w="19050">
            <a:solidFill>
              <a:schemeClr val="lt1"/>
            </a:solidFill>
          </a:ln>
          <a:effectLst/>
        </c:spPr>
        <c:dLbl>
          <c:idx val="0"/>
          <c:layout>
            <c:manualLayout>
              <c:x val="-9.7922848664688436E-2"/>
              <c:y val="0.12037037037037036"/>
            </c:manualLayout>
          </c:layout>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51202974628173"/>
                  <c:h val="0.14450860309128025"/>
                </c:manualLayout>
              </c15:layout>
            </c:ext>
          </c:extLst>
        </c:dLbl>
      </c:pivotFmt>
    </c:pivotFmts>
    <c:plotArea>
      <c:layout/>
      <c:pieChart>
        <c:varyColors val="1"/>
        <c:ser>
          <c:idx val="0"/>
          <c:order val="0"/>
          <c:tx>
            <c:strRef>
              <c:f>'Pivot data'!$H$15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39-4922-B9A4-ABCEED8BD9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39-4922-B9A4-ABCEED8BD9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39-4922-B9A4-ABCEED8BD9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39-4922-B9A4-ABCEED8BD9CE}"/>
              </c:ext>
            </c:extLst>
          </c:dPt>
          <c:dLbls>
            <c:dLbl>
              <c:idx val="0"/>
              <c:layout>
                <c:manualLayout>
                  <c:x val="7.1216755453787847E-2"/>
                  <c:y val="0.1199897729678767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3823757564429073"/>
                      <c:h val="0.17152518606407074"/>
                    </c:manualLayout>
                  </c15:layout>
                </c:ext>
                <c:ext xmlns:c16="http://schemas.microsoft.com/office/drawing/2014/chart" uri="{C3380CC4-5D6E-409C-BE32-E72D297353CC}">
                  <c16:uniqueId val="{00000001-8339-4922-B9A4-ABCEED8BD9CE}"/>
                </c:ext>
              </c:extLst>
            </c:dLbl>
            <c:dLbl>
              <c:idx val="1"/>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52209098862642"/>
                      <c:h val="0.15839749198016911"/>
                    </c:manualLayout>
                  </c15:layout>
                </c:ext>
                <c:ext xmlns:c16="http://schemas.microsoft.com/office/drawing/2014/chart" uri="{C3380CC4-5D6E-409C-BE32-E72D297353CC}">
                  <c16:uniqueId val="{00000003-8339-4922-B9A4-ABCEED8BD9CE}"/>
                </c:ext>
              </c:extLst>
            </c:dLbl>
            <c:dLbl>
              <c:idx val="2"/>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117279090113736"/>
                      <c:h val="0.14450860309128025"/>
                    </c:manualLayout>
                  </c15:layout>
                </c:ext>
                <c:ext xmlns:c16="http://schemas.microsoft.com/office/drawing/2014/chart" uri="{C3380CC4-5D6E-409C-BE32-E72D297353CC}">
                  <c16:uniqueId val="{00000005-8339-4922-B9A4-ABCEED8BD9CE}"/>
                </c:ext>
              </c:extLst>
            </c:dLbl>
            <c:dLbl>
              <c:idx val="3"/>
              <c:layout>
                <c:manualLayout>
                  <c:x val="-9.7922848664688436E-2"/>
                  <c:y val="0.12037037037037036"/>
                </c:manualLayout>
              </c:layout>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51202974628173"/>
                      <c:h val="0.14450860309128025"/>
                    </c:manualLayout>
                  </c15:layout>
                </c:ext>
                <c:ext xmlns:c16="http://schemas.microsoft.com/office/drawing/2014/chart" uri="{C3380CC4-5D6E-409C-BE32-E72D297353CC}">
                  <c16:uniqueId val="{00000007-8339-4922-B9A4-ABCEED8BD9CE}"/>
                </c:ext>
              </c:extLst>
            </c:dLbl>
            <c:spPr>
              <a:solidFill>
                <a:srgbClr val="00B0F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data'!$G$16:$G$20</c:f>
              <c:strCache>
                <c:ptCount val="4"/>
                <c:pt idx="0">
                  <c:v>East</c:v>
                </c:pt>
                <c:pt idx="1">
                  <c:v>North</c:v>
                </c:pt>
                <c:pt idx="2">
                  <c:v>South</c:v>
                </c:pt>
                <c:pt idx="3">
                  <c:v>West</c:v>
                </c:pt>
              </c:strCache>
            </c:strRef>
          </c:cat>
          <c:val>
            <c:numRef>
              <c:f>'Pivot data'!$H$16:$H$20</c:f>
              <c:numCache>
                <c:formatCode>0</c:formatCode>
                <c:ptCount val="4"/>
                <c:pt idx="0">
                  <c:v>2697118.310000001</c:v>
                </c:pt>
                <c:pt idx="1">
                  <c:v>3386342.1100000003</c:v>
                </c:pt>
                <c:pt idx="2">
                  <c:v>3356449.4200000009</c:v>
                </c:pt>
                <c:pt idx="3">
                  <c:v>2990535.2600000026</c:v>
                </c:pt>
              </c:numCache>
            </c:numRef>
          </c:val>
          <c:extLst>
            <c:ext xmlns:c16="http://schemas.microsoft.com/office/drawing/2014/chart" uri="{C3380CC4-5D6E-409C-BE32-E72D297353CC}">
              <c16:uniqueId val="{00000008-8339-4922-B9A4-ABCEED8BD9C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30480</xdr:rowOff>
    </xdr:from>
    <xdr:to>
      <xdr:col>23</xdr:col>
      <xdr:colOff>48639</xdr:colOff>
      <xdr:row>5</xdr:row>
      <xdr:rowOff>30480</xdr:rowOff>
    </xdr:to>
    <xdr:sp macro="" textlink="">
      <xdr:nvSpPr>
        <xdr:cNvPr id="2" name="Rectangle: Rounded Corners 1">
          <a:extLst>
            <a:ext uri="{FF2B5EF4-FFF2-40B4-BE49-F238E27FC236}">
              <a16:creationId xmlns:a16="http://schemas.microsoft.com/office/drawing/2014/main" id="{CFD4C2E2-6A69-6ACB-2CAE-E996356F1D18}"/>
            </a:ext>
          </a:extLst>
        </xdr:cNvPr>
        <xdr:cNvSpPr/>
      </xdr:nvSpPr>
      <xdr:spPr>
        <a:xfrm>
          <a:off x="0" y="30480"/>
          <a:ext cx="14218596" cy="891702"/>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45719</xdr:colOff>
      <xdr:row>5</xdr:row>
      <xdr:rowOff>99060</xdr:rowOff>
    </xdr:from>
    <xdr:to>
      <xdr:col>4</xdr:col>
      <xdr:colOff>595319</xdr:colOff>
      <xdr:row>10</xdr:row>
      <xdr:rowOff>22860</xdr:rowOff>
    </xdr:to>
    <xdr:grpSp>
      <xdr:nvGrpSpPr>
        <xdr:cNvPr id="24" name="Group 23">
          <a:extLst>
            <a:ext uri="{FF2B5EF4-FFF2-40B4-BE49-F238E27FC236}">
              <a16:creationId xmlns:a16="http://schemas.microsoft.com/office/drawing/2014/main" id="{AB76822F-EB3D-CB1B-9252-66208F836C20}"/>
            </a:ext>
          </a:extLst>
        </xdr:cNvPr>
        <xdr:cNvGrpSpPr/>
      </xdr:nvGrpSpPr>
      <xdr:grpSpPr>
        <a:xfrm>
          <a:off x="45719" y="995531"/>
          <a:ext cx="2970071" cy="820270"/>
          <a:chOff x="45720" y="1059180"/>
          <a:chExt cx="2590800" cy="838200"/>
        </a:xfrm>
        <a:effectLst>
          <a:outerShdw blurRad="50800" dist="38100" dir="2700000" algn="tl" rotWithShape="0">
            <a:prstClr val="black">
              <a:alpha val="40000"/>
            </a:prstClr>
          </a:outerShdw>
        </a:effectLst>
      </xdr:grpSpPr>
      <xdr:sp macro="" textlink="">
        <xdr:nvSpPr>
          <xdr:cNvPr id="3" name="Rectangle: Rounded Corners 2">
            <a:extLst>
              <a:ext uri="{FF2B5EF4-FFF2-40B4-BE49-F238E27FC236}">
                <a16:creationId xmlns:a16="http://schemas.microsoft.com/office/drawing/2014/main" id="{A2ED5B3A-E168-4D6F-9972-CE4E750921A4}"/>
              </a:ext>
            </a:extLst>
          </xdr:cNvPr>
          <xdr:cNvSpPr/>
        </xdr:nvSpPr>
        <xdr:spPr>
          <a:xfrm>
            <a:off x="45720" y="1059180"/>
            <a:ext cx="2590800" cy="8382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C33EBFA4-95F0-5EED-A1B3-786D9D58B496}"/>
              </a:ext>
            </a:extLst>
          </xdr:cNvPr>
          <xdr:cNvSpPr/>
        </xdr:nvSpPr>
        <xdr:spPr>
          <a:xfrm>
            <a:off x="53340" y="1066800"/>
            <a:ext cx="609600" cy="8229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969E1CA1-78BD-BCB1-E5F6-C6E672CF8E30}"/>
              </a:ext>
            </a:extLst>
          </xdr:cNvPr>
          <xdr:cNvSpPr txBox="1"/>
        </xdr:nvSpPr>
        <xdr:spPr>
          <a:xfrm>
            <a:off x="708660" y="1097280"/>
            <a:ext cx="180594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latin typeface="Segoe UI Semibold" panose="020B0702040204020203" pitchFamily="34" charset="0"/>
                <a:cs typeface="Segoe UI Semibold" panose="020B0702040204020203" pitchFamily="34" charset="0"/>
              </a:rPr>
              <a:t>TOTAL SALES</a:t>
            </a:r>
          </a:p>
        </xdr:txBody>
      </xdr:sp>
      <xdr:sp macro="" textlink="'Retail_Data'!N2">
        <xdr:nvSpPr>
          <xdr:cNvPr id="20" name="TextBox 19">
            <a:extLst>
              <a:ext uri="{FF2B5EF4-FFF2-40B4-BE49-F238E27FC236}">
                <a16:creationId xmlns:a16="http://schemas.microsoft.com/office/drawing/2014/main" id="{156B0F1A-DCDC-26F7-CD2C-3CD3349E9B44}"/>
              </a:ext>
            </a:extLst>
          </xdr:cNvPr>
          <xdr:cNvSpPr txBox="1"/>
        </xdr:nvSpPr>
        <xdr:spPr>
          <a:xfrm>
            <a:off x="807720" y="1470660"/>
            <a:ext cx="164592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CA8082-F191-4730-9D8E-4FB479B49146}" type="TxLink">
              <a:rPr lang="en-US"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pPr algn="ctr"/>
              <a:t>12430445</a:t>
            </a:fld>
            <a:endParaRPr lang="en-IN" sz="1400">
              <a:latin typeface="Segoe UI Semibold" panose="020B0702040204020203" pitchFamily="34" charset="0"/>
              <a:ea typeface="Segoe UI Black" panose="020B0A02040204020203" pitchFamily="34" charset="0"/>
              <a:cs typeface="Segoe UI Semibold" panose="020B0702040204020203" pitchFamily="34" charset="0"/>
            </a:endParaRPr>
          </a:p>
        </xdr:txBody>
      </xdr:sp>
      <xdr:pic>
        <xdr:nvPicPr>
          <xdr:cNvPr id="22" name="Graphic 21" descr="Coins">
            <a:extLst>
              <a:ext uri="{FF2B5EF4-FFF2-40B4-BE49-F238E27FC236}">
                <a16:creationId xmlns:a16="http://schemas.microsoft.com/office/drawing/2014/main" id="{B20C1BD9-DBEB-E11D-1578-897B877BD31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3820" y="1318260"/>
            <a:ext cx="518160" cy="518160"/>
          </a:xfrm>
          <a:prstGeom prst="rect">
            <a:avLst/>
          </a:prstGeom>
        </xdr:spPr>
      </xdr:pic>
    </xdr:grpSp>
    <xdr:clientData/>
  </xdr:twoCellAnchor>
  <xdr:twoCellAnchor>
    <xdr:from>
      <xdr:col>10</xdr:col>
      <xdr:colOff>94212</xdr:colOff>
      <xdr:row>5</xdr:row>
      <xdr:rowOff>97674</xdr:rowOff>
    </xdr:from>
    <xdr:to>
      <xdr:col>15</xdr:col>
      <xdr:colOff>34212</xdr:colOff>
      <xdr:row>10</xdr:row>
      <xdr:rowOff>21474</xdr:rowOff>
    </xdr:to>
    <xdr:grpSp>
      <xdr:nvGrpSpPr>
        <xdr:cNvPr id="34" name="Group 33">
          <a:extLst>
            <a:ext uri="{FF2B5EF4-FFF2-40B4-BE49-F238E27FC236}">
              <a16:creationId xmlns:a16="http://schemas.microsoft.com/office/drawing/2014/main" id="{E34939A1-BA02-BA4B-30DB-BDED1914322B}"/>
            </a:ext>
          </a:extLst>
        </xdr:cNvPr>
        <xdr:cNvGrpSpPr/>
      </xdr:nvGrpSpPr>
      <xdr:grpSpPr>
        <a:xfrm>
          <a:off x="6145388" y="994145"/>
          <a:ext cx="2965589" cy="820270"/>
          <a:chOff x="2743200" y="1028700"/>
          <a:chExt cx="2590800" cy="838200"/>
        </a:xfrm>
        <a:effectLst>
          <a:outerShdw blurRad="50800" dist="38100" dir="2700000" algn="tl" rotWithShape="0">
            <a:prstClr val="black">
              <a:alpha val="40000"/>
            </a:prstClr>
          </a:outerShdw>
        </a:effectLst>
      </xdr:grpSpPr>
      <xdr:sp macro="" textlink="">
        <xdr:nvSpPr>
          <xdr:cNvPr id="4" name="Rectangle: Rounded Corners 3">
            <a:extLst>
              <a:ext uri="{FF2B5EF4-FFF2-40B4-BE49-F238E27FC236}">
                <a16:creationId xmlns:a16="http://schemas.microsoft.com/office/drawing/2014/main" id="{66FFDCB3-0DB6-4795-A9D0-A0E4191F58B9}"/>
              </a:ext>
            </a:extLst>
          </xdr:cNvPr>
          <xdr:cNvSpPr/>
        </xdr:nvSpPr>
        <xdr:spPr>
          <a:xfrm>
            <a:off x="2743200" y="1028700"/>
            <a:ext cx="2590800" cy="8382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9F4C785E-9931-42A8-9ADB-F00739C2CB34}"/>
              </a:ext>
            </a:extLst>
          </xdr:cNvPr>
          <xdr:cNvSpPr/>
        </xdr:nvSpPr>
        <xdr:spPr>
          <a:xfrm>
            <a:off x="2750820" y="1036320"/>
            <a:ext cx="617220" cy="8153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4F8A4F91-5E18-21C4-2486-8EEA06D336E5}"/>
              </a:ext>
            </a:extLst>
          </xdr:cNvPr>
          <xdr:cNvSpPr txBox="1"/>
        </xdr:nvSpPr>
        <xdr:spPr>
          <a:xfrm>
            <a:off x="3474720" y="1104900"/>
            <a:ext cx="172212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TOTAL</a:t>
            </a:r>
            <a:r>
              <a:rPr lang="en-IN" sz="1400" baseline="0">
                <a:latin typeface="Segoe UI Semibold" panose="020B0702040204020203" pitchFamily="34" charset="0"/>
                <a:cs typeface="Segoe UI Semibold" panose="020B0702040204020203" pitchFamily="34" charset="0"/>
              </a:rPr>
              <a:t> QUANTITY</a:t>
            </a:r>
            <a:endParaRPr lang="en-IN" sz="1400">
              <a:latin typeface="Segoe UI Semibold" panose="020B0702040204020203" pitchFamily="34" charset="0"/>
              <a:cs typeface="Segoe UI Semibold" panose="020B0702040204020203" pitchFamily="34" charset="0"/>
            </a:endParaRPr>
          </a:p>
        </xdr:txBody>
      </xdr:sp>
      <xdr:sp macro="" textlink="'Retail_Data'!N8">
        <xdr:nvSpPr>
          <xdr:cNvPr id="25" name="TextBox 24">
            <a:extLst>
              <a:ext uri="{FF2B5EF4-FFF2-40B4-BE49-F238E27FC236}">
                <a16:creationId xmlns:a16="http://schemas.microsoft.com/office/drawing/2014/main" id="{654F70A9-B5DD-6CA5-FFEE-9ED55B42D5B9}"/>
              </a:ext>
            </a:extLst>
          </xdr:cNvPr>
          <xdr:cNvSpPr txBox="1"/>
        </xdr:nvSpPr>
        <xdr:spPr>
          <a:xfrm>
            <a:off x="3497580" y="1447800"/>
            <a:ext cx="165354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B26B6B-0016-4F07-B0FA-980E89389E1C}"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lgn="ctr"/>
              <a:t>2797</a:t>
            </a:fld>
            <a:endParaRPr lang="en-IN" sz="1400">
              <a:latin typeface="Segoe UI Semibold" panose="020B0702040204020203" pitchFamily="34" charset="0"/>
              <a:cs typeface="Segoe UI Semibold" panose="020B0702040204020203" pitchFamily="34" charset="0"/>
            </a:endParaRPr>
          </a:p>
        </xdr:txBody>
      </xdr:sp>
      <xdr:pic>
        <xdr:nvPicPr>
          <xdr:cNvPr id="29" name="Graphic 28" descr="Box">
            <a:extLst>
              <a:ext uri="{FF2B5EF4-FFF2-40B4-BE49-F238E27FC236}">
                <a16:creationId xmlns:a16="http://schemas.microsoft.com/office/drawing/2014/main" id="{D5D235C6-D6B6-8BDC-6C0C-4A51238C25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48420" y="1232040"/>
            <a:ext cx="604380" cy="604380"/>
          </a:xfrm>
          <a:prstGeom prst="rect">
            <a:avLst/>
          </a:prstGeom>
        </xdr:spPr>
      </xdr:pic>
    </xdr:grpSp>
    <xdr:clientData/>
  </xdr:twoCellAnchor>
  <xdr:twoCellAnchor>
    <xdr:from>
      <xdr:col>15</xdr:col>
      <xdr:colOff>128203</xdr:colOff>
      <xdr:row>5</xdr:row>
      <xdr:rowOff>96289</xdr:rowOff>
    </xdr:from>
    <xdr:to>
      <xdr:col>20</xdr:col>
      <xdr:colOff>68203</xdr:colOff>
      <xdr:row>10</xdr:row>
      <xdr:rowOff>22860</xdr:rowOff>
    </xdr:to>
    <xdr:grpSp>
      <xdr:nvGrpSpPr>
        <xdr:cNvPr id="40" name="Group 39">
          <a:extLst>
            <a:ext uri="{FF2B5EF4-FFF2-40B4-BE49-F238E27FC236}">
              <a16:creationId xmlns:a16="http://schemas.microsoft.com/office/drawing/2014/main" id="{BEFF608D-0270-F83D-1394-8AEBDC60E1AC}"/>
            </a:ext>
          </a:extLst>
        </xdr:cNvPr>
        <xdr:cNvGrpSpPr/>
      </xdr:nvGrpSpPr>
      <xdr:grpSpPr>
        <a:xfrm>
          <a:off x="9204968" y="992760"/>
          <a:ext cx="2965588" cy="823041"/>
          <a:chOff x="5451120" y="1021080"/>
          <a:chExt cx="2595600" cy="838200"/>
        </a:xfrm>
        <a:effectLst>
          <a:outerShdw blurRad="50800" dist="38100" dir="2700000" algn="tl" rotWithShape="0">
            <a:prstClr val="black">
              <a:alpha val="40000"/>
            </a:prstClr>
          </a:outerShdw>
        </a:effectLst>
      </xdr:grpSpPr>
      <xdr:sp macro="" textlink="">
        <xdr:nvSpPr>
          <xdr:cNvPr id="5" name="Rectangle: Rounded Corners 4">
            <a:extLst>
              <a:ext uri="{FF2B5EF4-FFF2-40B4-BE49-F238E27FC236}">
                <a16:creationId xmlns:a16="http://schemas.microsoft.com/office/drawing/2014/main" id="{53537366-A7EE-4C47-9DA8-7E4A222DB295}"/>
              </a:ext>
            </a:extLst>
          </xdr:cNvPr>
          <xdr:cNvSpPr/>
        </xdr:nvSpPr>
        <xdr:spPr>
          <a:xfrm>
            <a:off x="5455920" y="1021080"/>
            <a:ext cx="2590800" cy="8382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2A898B2F-BB59-495F-8491-0C2E05D28404}"/>
              </a:ext>
            </a:extLst>
          </xdr:cNvPr>
          <xdr:cNvSpPr/>
        </xdr:nvSpPr>
        <xdr:spPr>
          <a:xfrm>
            <a:off x="5463540" y="1028700"/>
            <a:ext cx="609600" cy="8229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FD6FC339-5B12-1C0A-2079-174DA5C89EF7}"/>
              </a:ext>
            </a:extLst>
          </xdr:cNvPr>
          <xdr:cNvSpPr txBox="1"/>
        </xdr:nvSpPr>
        <xdr:spPr>
          <a:xfrm>
            <a:off x="6141720" y="1051560"/>
            <a:ext cx="176784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Segoe UI Semibold" panose="020B0702040204020203" pitchFamily="34" charset="0"/>
                <a:cs typeface="Segoe UI Semibold" panose="020B0702040204020203" pitchFamily="34" charset="0"/>
              </a:rPr>
              <a:t>TOTAL ORDER</a:t>
            </a:r>
          </a:p>
        </xdr:txBody>
      </xdr:sp>
      <xdr:pic>
        <xdr:nvPicPr>
          <xdr:cNvPr id="31" name="Graphic 30" descr="Box trolley">
            <a:extLst>
              <a:ext uri="{FF2B5EF4-FFF2-40B4-BE49-F238E27FC236}">
                <a16:creationId xmlns:a16="http://schemas.microsoft.com/office/drawing/2014/main" id="{28DEE63A-5068-CD72-30DF-69300D6C67C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51120" y="1199160"/>
            <a:ext cx="614400" cy="614400"/>
          </a:xfrm>
          <a:prstGeom prst="rect">
            <a:avLst/>
          </a:prstGeom>
        </xdr:spPr>
      </xdr:pic>
      <xdr:sp macro="" textlink="'Retail_Data'!N11">
        <xdr:nvSpPr>
          <xdr:cNvPr id="39" name="TextBox 38">
            <a:extLst>
              <a:ext uri="{FF2B5EF4-FFF2-40B4-BE49-F238E27FC236}">
                <a16:creationId xmlns:a16="http://schemas.microsoft.com/office/drawing/2014/main" id="{EDB0F199-9DD5-0314-BDDD-21EE9F1F53BD}"/>
              </a:ext>
            </a:extLst>
          </xdr:cNvPr>
          <xdr:cNvSpPr txBox="1"/>
        </xdr:nvSpPr>
        <xdr:spPr>
          <a:xfrm>
            <a:off x="6488430" y="1413511"/>
            <a:ext cx="933450" cy="345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6E1A69-BD1F-479E-8A12-11DBCF358DE1}"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lgn="ctr"/>
              <a:t>500</a:t>
            </a:fld>
            <a:endParaRPr lang="en-IN" sz="1400">
              <a:latin typeface="Segoe UI Semibold" panose="020B0702040204020203" pitchFamily="34" charset="0"/>
              <a:cs typeface="Segoe UI Semibold" panose="020B0702040204020203" pitchFamily="34" charset="0"/>
            </a:endParaRPr>
          </a:p>
        </xdr:txBody>
      </xdr:sp>
    </xdr:grpSp>
    <xdr:clientData/>
  </xdr:twoCellAnchor>
  <xdr:twoCellAnchor>
    <xdr:from>
      <xdr:col>5</xdr:col>
      <xdr:colOff>63039</xdr:colOff>
      <xdr:row>5</xdr:row>
      <xdr:rowOff>91441</xdr:rowOff>
    </xdr:from>
    <xdr:to>
      <xdr:col>10</xdr:col>
      <xdr:colOff>3039</xdr:colOff>
      <xdr:row>10</xdr:row>
      <xdr:rowOff>15241</xdr:rowOff>
    </xdr:to>
    <xdr:grpSp>
      <xdr:nvGrpSpPr>
        <xdr:cNvPr id="42" name="Group 41">
          <a:extLst>
            <a:ext uri="{FF2B5EF4-FFF2-40B4-BE49-F238E27FC236}">
              <a16:creationId xmlns:a16="http://schemas.microsoft.com/office/drawing/2014/main" id="{46559E98-239A-5CF0-368C-9225ECA57C37}"/>
            </a:ext>
          </a:extLst>
        </xdr:cNvPr>
        <xdr:cNvGrpSpPr/>
      </xdr:nvGrpSpPr>
      <xdr:grpSpPr>
        <a:xfrm>
          <a:off x="3088627" y="987912"/>
          <a:ext cx="2965588" cy="820270"/>
          <a:chOff x="8153400" y="1028700"/>
          <a:chExt cx="2529840" cy="838200"/>
        </a:xfrm>
        <a:effectLst>
          <a:outerShdw blurRad="50800" dist="38100" dir="2700000" algn="t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8F190DC0-7437-4481-AB58-15D091B68E69}"/>
              </a:ext>
            </a:extLst>
          </xdr:cNvPr>
          <xdr:cNvSpPr/>
        </xdr:nvSpPr>
        <xdr:spPr>
          <a:xfrm>
            <a:off x="8153400" y="1028700"/>
            <a:ext cx="2529840" cy="8382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B82A147A-11F4-473A-84EF-57E95309A4F0}"/>
              </a:ext>
            </a:extLst>
          </xdr:cNvPr>
          <xdr:cNvSpPr/>
        </xdr:nvSpPr>
        <xdr:spPr>
          <a:xfrm>
            <a:off x="8153400" y="1036320"/>
            <a:ext cx="609600" cy="8229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E29566BB-1D0E-1FDE-9231-112DF38974B3}"/>
              </a:ext>
            </a:extLst>
          </xdr:cNvPr>
          <xdr:cNvSpPr txBox="1"/>
        </xdr:nvSpPr>
        <xdr:spPr>
          <a:xfrm>
            <a:off x="8892540" y="1074420"/>
            <a:ext cx="167640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Segoe UI Semibold" panose="020B0702040204020203" pitchFamily="34" charset="0"/>
                <a:cs typeface="Segoe UI Semibold" panose="020B0702040204020203" pitchFamily="34" charset="0"/>
              </a:rPr>
              <a:t>TOTAL</a:t>
            </a:r>
            <a:r>
              <a:rPr lang="en-IN" sz="1400" baseline="0">
                <a:latin typeface="Segoe UI Semibold" panose="020B0702040204020203" pitchFamily="34" charset="0"/>
                <a:cs typeface="Segoe UI Semibold" panose="020B0702040204020203" pitchFamily="34" charset="0"/>
              </a:rPr>
              <a:t> PROFIT</a:t>
            </a:r>
            <a:endParaRPr lang="en-IN" sz="1400">
              <a:latin typeface="Segoe UI Semibold" panose="020B0702040204020203" pitchFamily="34" charset="0"/>
              <a:cs typeface="Segoe UI Semibold" panose="020B0702040204020203" pitchFamily="34" charset="0"/>
            </a:endParaRPr>
          </a:p>
        </xdr:txBody>
      </xdr:sp>
      <xdr:pic>
        <xdr:nvPicPr>
          <xdr:cNvPr id="36" name="Graphic 35" descr="Bar graph with upward trend">
            <a:extLst>
              <a:ext uri="{FF2B5EF4-FFF2-40B4-BE49-F238E27FC236}">
                <a16:creationId xmlns:a16="http://schemas.microsoft.com/office/drawing/2014/main" id="{8B37A0A1-6A0C-6D16-5749-18657631924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214360" y="1318260"/>
            <a:ext cx="480060" cy="480060"/>
          </a:xfrm>
          <a:prstGeom prst="rect">
            <a:avLst/>
          </a:prstGeom>
        </xdr:spPr>
      </xdr:pic>
      <xdr:sp macro="" textlink="'Retail_Data'!N5">
        <xdr:nvSpPr>
          <xdr:cNvPr id="41" name="TextBox 40">
            <a:extLst>
              <a:ext uri="{FF2B5EF4-FFF2-40B4-BE49-F238E27FC236}">
                <a16:creationId xmlns:a16="http://schemas.microsoft.com/office/drawing/2014/main" id="{BEE753E9-1563-951F-C79C-F36EBBD34BF3}"/>
              </a:ext>
            </a:extLst>
          </xdr:cNvPr>
          <xdr:cNvSpPr txBox="1"/>
        </xdr:nvSpPr>
        <xdr:spPr>
          <a:xfrm>
            <a:off x="8953500" y="1455420"/>
            <a:ext cx="153162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AA06ED-CA22-48D5-AA7A-F84839C882C1}"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lgn="ctr"/>
              <a:t>1898073</a:t>
            </a:fld>
            <a:endParaRPr lang="en-IN" sz="1400">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20</xdr:col>
      <xdr:colOff>207149</xdr:colOff>
      <xdr:row>11</xdr:row>
      <xdr:rowOff>63500</xdr:rowOff>
    </xdr:from>
    <xdr:to>
      <xdr:col>23</xdr:col>
      <xdr:colOff>70349</xdr:colOff>
      <xdr:row>22</xdr:row>
      <xdr:rowOff>152400</xdr:rowOff>
    </xdr:to>
    <mc:AlternateContent xmlns:mc="http://schemas.openxmlformats.org/markup-compatibility/2006" xmlns:a14="http://schemas.microsoft.com/office/drawing/2010/main">
      <mc:Choice Requires="a14">
        <xdr:graphicFrame macro="">
          <xdr:nvGraphicFramePr>
            <xdr:cNvPr id="48" name="Category 1">
              <a:extLst>
                <a:ext uri="{FF2B5EF4-FFF2-40B4-BE49-F238E27FC236}">
                  <a16:creationId xmlns:a16="http://schemas.microsoft.com/office/drawing/2014/main" id="{61C8C169-A4C2-47E2-A183-6D2BCE87221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399149" y="2019300"/>
              <a:ext cx="1692000" cy="2044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120297</xdr:colOff>
      <xdr:row>5</xdr:row>
      <xdr:rowOff>114300</xdr:rowOff>
    </xdr:from>
    <xdr:to>
      <xdr:col>23</xdr:col>
      <xdr:colOff>55497</xdr:colOff>
      <xdr:row>11</xdr:row>
      <xdr:rowOff>50800</xdr:rowOff>
    </xdr:to>
    <mc:AlternateContent xmlns:mc="http://schemas.openxmlformats.org/markup-compatibility/2006" xmlns:a14="http://schemas.microsoft.com/office/drawing/2010/main">
      <mc:Choice Requires="a14">
        <xdr:graphicFrame macro="">
          <xdr:nvGraphicFramePr>
            <xdr:cNvPr id="49" name="Region 1">
              <a:extLst>
                <a:ext uri="{FF2B5EF4-FFF2-40B4-BE49-F238E27FC236}">
                  <a16:creationId xmlns:a16="http://schemas.microsoft.com/office/drawing/2014/main" id="{5B24BD48-2807-4A7E-8CAC-42B45E97561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312297" y="1003300"/>
              <a:ext cx="1764000" cy="100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217563</xdr:colOff>
      <xdr:row>23</xdr:row>
      <xdr:rowOff>1991</xdr:rowOff>
    </xdr:from>
    <xdr:to>
      <xdr:col>23</xdr:col>
      <xdr:colOff>86320</xdr:colOff>
      <xdr:row>49</xdr:row>
      <xdr:rowOff>50800</xdr:rowOff>
    </xdr:to>
    <mc:AlternateContent xmlns:mc="http://schemas.openxmlformats.org/markup-compatibility/2006" xmlns:a14="http://schemas.microsoft.com/office/drawing/2010/main">
      <mc:Choice Requires="a14">
        <xdr:graphicFrame macro="">
          <xdr:nvGraphicFramePr>
            <xdr:cNvPr id="52" name="month_name 1">
              <a:extLst>
                <a:ext uri="{FF2B5EF4-FFF2-40B4-BE49-F238E27FC236}">
                  <a16:creationId xmlns:a16="http://schemas.microsoft.com/office/drawing/2014/main" id="{529C94D7-8F29-48A0-97B1-C7C876BD9653}"/>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12409563" y="4091391"/>
              <a:ext cx="1697557" cy="4671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48639</xdr:colOff>
      <xdr:row>10</xdr:row>
      <xdr:rowOff>82050</xdr:rowOff>
    </xdr:from>
    <xdr:to>
      <xdr:col>12</xdr:col>
      <xdr:colOff>228600</xdr:colOff>
      <xdr:row>27</xdr:row>
      <xdr:rowOff>133978</xdr:rowOff>
    </xdr:to>
    <xdr:grpSp>
      <xdr:nvGrpSpPr>
        <xdr:cNvPr id="57" name="Group 56">
          <a:extLst>
            <a:ext uri="{FF2B5EF4-FFF2-40B4-BE49-F238E27FC236}">
              <a16:creationId xmlns:a16="http://schemas.microsoft.com/office/drawing/2014/main" id="{C32414DE-79A9-5777-0AD4-832A014D6982}"/>
            </a:ext>
          </a:extLst>
        </xdr:cNvPr>
        <xdr:cNvGrpSpPr/>
      </xdr:nvGrpSpPr>
      <xdr:grpSpPr>
        <a:xfrm>
          <a:off x="48639" y="1874991"/>
          <a:ext cx="7441373" cy="3099928"/>
          <a:chOff x="0" y="1946228"/>
          <a:chExt cx="10782300" cy="3483023"/>
        </a:xfrm>
        <a:effectLst>
          <a:outerShdw blurRad="50800" dist="38100" dir="2700000" algn="tl" rotWithShape="0">
            <a:prstClr val="black">
              <a:alpha val="40000"/>
            </a:prstClr>
          </a:outerShdw>
        </a:effectLst>
      </xdr:grpSpPr>
      <xdr:sp macro="" textlink="">
        <xdr:nvSpPr>
          <xdr:cNvPr id="53" name="Rectangle: Rounded Corners 52">
            <a:extLst>
              <a:ext uri="{FF2B5EF4-FFF2-40B4-BE49-F238E27FC236}">
                <a16:creationId xmlns:a16="http://schemas.microsoft.com/office/drawing/2014/main" id="{167BA002-8431-1EB0-87C9-A28EB24D69BA}"/>
              </a:ext>
            </a:extLst>
          </xdr:cNvPr>
          <xdr:cNvSpPr/>
        </xdr:nvSpPr>
        <xdr:spPr>
          <a:xfrm>
            <a:off x="0" y="1946228"/>
            <a:ext cx="10782300" cy="348302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E1B48F1B-CC11-05BB-867F-BDFF1F9F6708}"/>
              </a:ext>
            </a:extLst>
          </xdr:cNvPr>
          <xdr:cNvSpPr txBox="1"/>
        </xdr:nvSpPr>
        <xdr:spPr>
          <a:xfrm>
            <a:off x="454925" y="2024845"/>
            <a:ext cx="5622878" cy="2947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latin typeface="Segoe UI Semibold" panose="020B0702040204020203" pitchFamily="34" charset="0"/>
                <a:cs typeface="Segoe UI Semibold" panose="020B0702040204020203" pitchFamily="34" charset="0"/>
              </a:rPr>
              <a:t>MONTHLY SALES TREND</a:t>
            </a:r>
          </a:p>
          <a:p>
            <a:endParaRPr lang="en-IN" sz="1400">
              <a:latin typeface="Segoe UI Semibold" panose="020B0702040204020203" pitchFamily="34" charset="0"/>
              <a:cs typeface="Segoe UI Semibold" panose="020B0702040204020203" pitchFamily="34" charset="0"/>
            </a:endParaRPr>
          </a:p>
        </xdr:txBody>
      </xdr:sp>
      <xdr:graphicFrame macro="">
        <xdr:nvGraphicFramePr>
          <xdr:cNvPr id="55" name="Chart 54">
            <a:extLst>
              <a:ext uri="{FF2B5EF4-FFF2-40B4-BE49-F238E27FC236}">
                <a16:creationId xmlns:a16="http://schemas.microsoft.com/office/drawing/2014/main" id="{D0B97AB9-73A5-44BB-A77B-F1BD1498A576}"/>
              </a:ext>
            </a:extLst>
          </xdr:cNvPr>
          <xdr:cNvGraphicFramePr>
            <a:graphicFrameLocks/>
          </xdr:cNvGraphicFramePr>
        </xdr:nvGraphicFramePr>
        <xdr:xfrm>
          <a:off x="295275" y="2314884"/>
          <a:ext cx="10163175" cy="268380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0</xdr:col>
      <xdr:colOff>0</xdr:colOff>
      <xdr:row>28</xdr:row>
      <xdr:rowOff>80750</xdr:rowOff>
    </xdr:from>
    <xdr:to>
      <xdr:col>11</xdr:col>
      <xdr:colOff>583660</xdr:colOff>
      <xdr:row>49</xdr:row>
      <xdr:rowOff>65989</xdr:rowOff>
    </xdr:to>
    <xdr:grpSp>
      <xdr:nvGrpSpPr>
        <xdr:cNvPr id="83" name="Group 82">
          <a:extLst>
            <a:ext uri="{FF2B5EF4-FFF2-40B4-BE49-F238E27FC236}">
              <a16:creationId xmlns:a16="http://schemas.microsoft.com/office/drawing/2014/main" id="{BBED6569-B09D-EA1D-538D-65FE73FD2E2F}"/>
            </a:ext>
          </a:extLst>
        </xdr:cNvPr>
        <xdr:cNvGrpSpPr/>
      </xdr:nvGrpSpPr>
      <xdr:grpSpPr>
        <a:xfrm>
          <a:off x="0" y="5100985"/>
          <a:ext cx="7239954" cy="3750416"/>
          <a:chOff x="1" y="5058069"/>
          <a:chExt cx="7360596" cy="3730388"/>
        </a:xfrm>
        <a:effectLst>
          <a:outerShdw blurRad="50800" dist="38100" dir="2700000" algn="tl" rotWithShape="0">
            <a:prstClr val="black">
              <a:alpha val="40000"/>
            </a:prstClr>
          </a:outerShdw>
        </a:effectLst>
      </xdr:grpSpPr>
      <xdr:sp macro="" textlink="">
        <xdr:nvSpPr>
          <xdr:cNvPr id="59" name="Rectangle: Rounded Corners 58">
            <a:extLst>
              <a:ext uri="{FF2B5EF4-FFF2-40B4-BE49-F238E27FC236}">
                <a16:creationId xmlns:a16="http://schemas.microsoft.com/office/drawing/2014/main" id="{C2BF5B45-9038-48C0-963D-079EF061ED65}"/>
              </a:ext>
            </a:extLst>
          </xdr:cNvPr>
          <xdr:cNvSpPr/>
        </xdr:nvSpPr>
        <xdr:spPr>
          <a:xfrm>
            <a:off x="1" y="5058069"/>
            <a:ext cx="7360596" cy="3730388"/>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0" name="Chart 69">
            <a:extLst>
              <a:ext uri="{FF2B5EF4-FFF2-40B4-BE49-F238E27FC236}">
                <a16:creationId xmlns:a16="http://schemas.microsoft.com/office/drawing/2014/main" id="{D906FA95-FA0F-4A15-B0E5-5E970DEBDC1F}"/>
              </a:ext>
            </a:extLst>
          </xdr:cNvPr>
          <xdr:cNvGraphicFramePr>
            <a:graphicFrameLocks/>
          </xdr:cNvGraphicFramePr>
        </xdr:nvGraphicFramePr>
        <xdr:xfrm>
          <a:off x="51956" y="5523395"/>
          <a:ext cx="7178938" cy="2927877"/>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76" name="TextBox 75">
            <a:extLst>
              <a:ext uri="{FF2B5EF4-FFF2-40B4-BE49-F238E27FC236}">
                <a16:creationId xmlns:a16="http://schemas.microsoft.com/office/drawing/2014/main" id="{C88A73F7-5856-7A2E-E9E6-11599DB45118}"/>
              </a:ext>
            </a:extLst>
          </xdr:cNvPr>
          <xdr:cNvSpPr txBox="1"/>
        </xdr:nvSpPr>
        <xdr:spPr>
          <a:xfrm>
            <a:off x="485516" y="5074596"/>
            <a:ext cx="4285857" cy="4554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latin typeface="Segoe UI Semibold" panose="020B0702040204020203" pitchFamily="34" charset="0"/>
                <a:cs typeface="Segoe UI Semibold" panose="020B0702040204020203" pitchFamily="34" charset="0"/>
              </a:rPr>
              <a:t>TOP 5 SELLING PRODUCTS</a:t>
            </a:r>
          </a:p>
          <a:p>
            <a:endParaRPr lang="en-IN" sz="1400">
              <a:latin typeface="Segoe UI Semibold" panose="020B0702040204020203" pitchFamily="34" charset="0"/>
              <a:cs typeface="Segoe UI Semibold" panose="020B0702040204020203" pitchFamily="34" charset="0"/>
            </a:endParaRPr>
          </a:p>
        </xdr:txBody>
      </xdr:sp>
    </xdr:grpSp>
    <xdr:clientData/>
  </xdr:twoCellAnchor>
  <xdr:twoCellAnchor>
    <xdr:from>
      <xdr:col>12</xdr:col>
      <xdr:colOff>25400</xdr:colOff>
      <xdr:row>28</xdr:row>
      <xdr:rowOff>64851</xdr:rowOff>
    </xdr:from>
    <xdr:to>
      <xdr:col>20</xdr:col>
      <xdr:colOff>194553</xdr:colOff>
      <xdr:row>49</xdr:row>
      <xdr:rowOff>48638</xdr:rowOff>
    </xdr:to>
    <xdr:grpSp>
      <xdr:nvGrpSpPr>
        <xdr:cNvPr id="82" name="Group 81">
          <a:extLst>
            <a:ext uri="{FF2B5EF4-FFF2-40B4-BE49-F238E27FC236}">
              <a16:creationId xmlns:a16="http://schemas.microsoft.com/office/drawing/2014/main" id="{BE1ABB50-1EA1-1E4E-D0FF-F796599B6664}"/>
            </a:ext>
          </a:extLst>
        </xdr:cNvPr>
        <xdr:cNvGrpSpPr/>
      </xdr:nvGrpSpPr>
      <xdr:grpSpPr>
        <a:xfrm>
          <a:off x="7286812" y="5085086"/>
          <a:ext cx="5010094" cy="3748964"/>
          <a:chOff x="7457873" y="5058383"/>
          <a:chExt cx="5025957" cy="3728936"/>
        </a:xfrm>
        <a:effectLst>
          <a:outerShdw blurRad="50800" dist="38100" dir="2700000" algn="tl" rotWithShape="0">
            <a:prstClr val="black">
              <a:alpha val="40000"/>
            </a:prstClr>
          </a:outerShdw>
        </a:effectLst>
      </xdr:grpSpPr>
      <xdr:sp macro="" textlink="">
        <xdr:nvSpPr>
          <xdr:cNvPr id="61" name="Rectangle: Rounded Corners 60">
            <a:extLst>
              <a:ext uri="{FF2B5EF4-FFF2-40B4-BE49-F238E27FC236}">
                <a16:creationId xmlns:a16="http://schemas.microsoft.com/office/drawing/2014/main" id="{0DE693BB-3CB6-4A50-AF57-75022A74D2A7}"/>
              </a:ext>
            </a:extLst>
          </xdr:cNvPr>
          <xdr:cNvSpPr/>
        </xdr:nvSpPr>
        <xdr:spPr>
          <a:xfrm>
            <a:off x="7457873" y="5058383"/>
            <a:ext cx="5025957" cy="372893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9" name="Chart 78">
            <a:extLst>
              <a:ext uri="{FF2B5EF4-FFF2-40B4-BE49-F238E27FC236}">
                <a16:creationId xmlns:a16="http://schemas.microsoft.com/office/drawing/2014/main" id="{F5A69988-6A4B-4979-8533-002AEE95A490}"/>
              </a:ext>
            </a:extLst>
          </xdr:cNvPr>
          <xdr:cNvGraphicFramePr>
            <a:graphicFrameLocks/>
          </xdr:cNvGraphicFramePr>
        </xdr:nvGraphicFramePr>
        <xdr:xfrm>
          <a:off x="7603787" y="5496662"/>
          <a:ext cx="4620639" cy="3047466"/>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80" name="TextBox 79">
            <a:extLst>
              <a:ext uri="{FF2B5EF4-FFF2-40B4-BE49-F238E27FC236}">
                <a16:creationId xmlns:a16="http://schemas.microsoft.com/office/drawing/2014/main" id="{1D440BB3-010A-2CA1-F27D-7E2C0EB67BBA}"/>
              </a:ext>
            </a:extLst>
          </xdr:cNvPr>
          <xdr:cNvSpPr txBox="1"/>
        </xdr:nvSpPr>
        <xdr:spPr>
          <a:xfrm>
            <a:off x="7930704" y="5113554"/>
            <a:ext cx="2464340" cy="4249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latin typeface="Segoe UI Semibold" panose="020B0702040204020203" pitchFamily="34" charset="0"/>
                <a:cs typeface="Segoe UI Semibold" panose="020B0702040204020203" pitchFamily="34" charset="0"/>
              </a:rPr>
              <a:t>SALES BY CATEGORY</a:t>
            </a:r>
          </a:p>
          <a:p>
            <a:endParaRPr lang="en-IN" sz="1400">
              <a:latin typeface="Segoe UI Semibold" panose="020B0702040204020203" pitchFamily="34" charset="0"/>
              <a:cs typeface="Segoe UI Semibold" panose="020B0702040204020203" pitchFamily="34" charset="0"/>
            </a:endParaRPr>
          </a:p>
        </xdr:txBody>
      </xdr:sp>
    </xdr:grpSp>
    <xdr:clientData/>
  </xdr:twoCellAnchor>
  <xdr:twoCellAnchor>
    <xdr:from>
      <xdr:col>1</xdr:col>
      <xdr:colOff>419100</xdr:colOff>
      <xdr:row>0</xdr:row>
      <xdr:rowOff>88900</xdr:rowOff>
    </xdr:from>
    <xdr:to>
      <xdr:col>20</xdr:col>
      <xdr:colOff>177800</xdr:colOff>
      <xdr:row>4</xdr:row>
      <xdr:rowOff>12700</xdr:rowOff>
    </xdr:to>
    <xdr:sp macro="" textlink="">
      <xdr:nvSpPr>
        <xdr:cNvPr id="84" name="TextBox 83">
          <a:extLst>
            <a:ext uri="{FF2B5EF4-FFF2-40B4-BE49-F238E27FC236}">
              <a16:creationId xmlns:a16="http://schemas.microsoft.com/office/drawing/2014/main" id="{D852B642-4503-1BDD-5D25-E20573A86D52}"/>
            </a:ext>
          </a:extLst>
        </xdr:cNvPr>
        <xdr:cNvSpPr txBox="1"/>
      </xdr:nvSpPr>
      <xdr:spPr>
        <a:xfrm>
          <a:off x="1028700" y="88900"/>
          <a:ext cx="11341100" cy="635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a:solidFill>
                <a:srgbClr val="00B0F0"/>
              </a:solidFill>
              <a:latin typeface="Segoe UI Semibold" panose="020B0702040204020203" pitchFamily="34" charset="0"/>
              <a:cs typeface="Segoe UI Semibold" panose="020B0702040204020203" pitchFamily="34" charset="0"/>
            </a:rPr>
            <a:t>RETAIL SALES PERFORMANCE DASHBOARD</a:t>
          </a:r>
        </a:p>
        <a:p>
          <a:pPr algn="ctr"/>
          <a:endParaRPr lang="en-IN" sz="2400">
            <a:solidFill>
              <a:srgbClr val="00B0F0"/>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266700</xdr:colOff>
      <xdr:row>10</xdr:row>
      <xdr:rowOff>112096</xdr:rowOff>
    </xdr:from>
    <xdr:to>
      <xdr:col>20</xdr:col>
      <xdr:colOff>165100</xdr:colOff>
      <xdr:row>27</xdr:row>
      <xdr:rowOff>139700</xdr:rowOff>
    </xdr:to>
    <xdr:grpSp>
      <xdr:nvGrpSpPr>
        <xdr:cNvPr id="89" name="Group 88">
          <a:extLst>
            <a:ext uri="{FF2B5EF4-FFF2-40B4-BE49-F238E27FC236}">
              <a16:creationId xmlns:a16="http://schemas.microsoft.com/office/drawing/2014/main" id="{6C00CAC4-C386-F760-5789-446AC61B43B9}"/>
            </a:ext>
          </a:extLst>
        </xdr:cNvPr>
        <xdr:cNvGrpSpPr/>
      </xdr:nvGrpSpPr>
      <xdr:grpSpPr>
        <a:xfrm>
          <a:off x="7528112" y="1905037"/>
          <a:ext cx="4739341" cy="3075604"/>
          <a:chOff x="7645400" y="1902796"/>
          <a:chExt cx="4559300" cy="3050204"/>
        </a:xfrm>
        <a:effectLst>
          <a:outerShdw blurRad="50800" dist="38100" dir="2700000" algn="tl" rotWithShape="0">
            <a:prstClr val="black">
              <a:alpha val="40000"/>
            </a:prstClr>
          </a:outerShdw>
        </a:effectLst>
      </xdr:grpSpPr>
      <xdr:sp macro="" textlink="">
        <xdr:nvSpPr>
          <xdr:cNvPr id="86" name="Rectangle: Rounded Corners 85">
            <a:extLst>
              <a:ext uri="{FF2B5EF4-FFF2-40B4-BE49-F238E27FC236}">
                <a16:creationId xmlns:a16="http://schemas.microsoft.com/office/drawing/2014/main" id="{C46C90C4-3226-9296-6FF6-32030DEDCF53}"/>
              </a:ext>
            </a:extLst>
          </xdr:cNvPr>
          <xdr:cNvSpPr/>
        </xdr:nvSpPr>
        <xdr:spPr>
          <a:xfrm>
            <a:off x="7645400" y="1902796"/>
            <a:ext cx="4559300" cy="30502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7" name="TextBox 86">
            <a:extLst>
              <a:ext uri="{FF2B5EF4-FFF2-40B4-BE49-F238E27FC236}">
                <a16:creationId xmlns:a16="http://schemas.microsoft.com/office/drawing/2014/main" id="{140D498C-CD6A-ECEC-1519-6EADAA3C3DE0}"/>
              </a:ext>
            </a:extLst>
          </xdr:cNvPr>
          <xdr:cNvSpPr txBox="1"/>
        </xdr:nvSpPr>
        <xdr:spPr>
          <a:xfrm>
            <a:off x="8039100" y="1993900"/>
            <a:ext cx="2578100" cy="368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SALES BY REGION</a:t>
            </a:r>
          </a:p>
        </xdr:txBody>
      </xdr:sp>
      <xdr:graphicFrame macro="">
        <xdr:nvGraphicFramePr>
          <xdr:cNvPr id="88" name="Chart 87">
            <a:extLst>
              <a:ext uri="{FF2B5EF4-FFF2-40B4-BE49-F238E27FC236}">
                <a16:creationId xmlns:a16="http://schemas.microsoft.com/office/drawing/2014/main" id="{AEF234F3-4F43-410A-92F5-A8BA478F6669}"/>
              </a:ext>
            </a:extLst>
          </xdr:cNvPr>
          <xdr:cNvGraphicFramePr>
            <a:graphicFrameLocks/>
          </xdr:cNvGraphicFramePr>
        </xdr:nvGraphicFramePr>
        <xdr:xfrm>
          <a:off x="7797800" y="2006600"/>
          <a:ext cx="4279900" cy="279400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HAN" refreshedDate="46062.465233333336" createdVersion="8" refreshedVersion="8" minRefreshableVersion="3" recordCount="500" xr:uid="{A8835F96-AC0C-4219-A0AB-FFE86C3CB842}">
  <cacheSource type="worksheet">
    <worksheetSource name="Retail_Data"/>
  </cacheSource>
  <cacheFields count="11">
    <cacheField name="Order_ID" numFmtId="0">
      <sharedItems/>
    </cacheField>
    <cacheField name="Order_Date" numFmtId="0">
      <sharedItems/>
    </cacheField>
    <cacheField name="Product" numFmtId="0">
      <sharedItems count="16">
        <s v="Smart Watch"/>
        <s v="T-Shirt"/>
        <s v="Shoes"/>
        <s v="Mobile"/>
        <s v="Laptop"/>
        <s v="Bed"/>
        <s v="Sugar"/>
        <s v="Rice"/>
        <s v="Headphones"/>
        <s v="Jacket"/>
        <s v="Table"/>
        <s v="Sofa"/>
        <s v="Jeans"/>
        <s v="Oil"/>
        <s v="Chair"/>
        <s v="Snacks"/>
      </sharedItems>
    </cacheField>
    <cacheField name="Category" numFmtId="0">
      <sharedItems count="4">
        <s v="Electronics"/>
        <s v="Clothing"/>
        <s v="Furniture"/>
        <s v="Grocery"/>
      </sharedItems>
    </cacheField>
    <cacheField name="Region" numFmtId="0">
      <sharedItems count="4">
        <s v="North"/>
        <s v="West"/>
        <s v="South"/>
        <s v="East"/>
      </sharedItems>
    </cacheField>
    <cacheField name="Sales_Amount" numFmtId="1">
      <sharedItems containsSemiMixedTypes="0" containsString="0" containsNumber="1" minValue="777.56" maxValue="49921.22"/>
    </cacheField>
    <cacheField name="Quantity" numFmtId="0">
      <sharedItems containsSemiMixedTypes="0" containsString="0" containsNumber="1" containsInteger="1" minValue="1" maxValue="10"/>
    </cacheField>
    <cacheField name="Profit" numFmtId="1">
      <sharedItems containsSemiMixedTypes="0" containsString="0" containsNumber="1" minValue="68.69" maxValue="11570.12"/>
    </cacheField>
    <cacheField name="Payment_Mode" numFmtId="0">
      <sharedItems count="3">
        <s v="Card"/>
        <s v="UPI"/>
        <s v="Cash"/>
      </sharedItems>
    </cacheField>
    <cacheField name="year" numFmtId="0">
      <sharedItems containsSemiMixedTypes="0" containsString="0" containsNumber="1" containsInteger="1" minValue="2024" maxValue="2024" count="1">
        <n v="2024"/>
      </sharedItems>
    </cacheField>
    <cacheField name="month_name" numFmtId="0">
      <sharedItems count="12">
        <s v="Jun"/>
        <s v="Jul"/>
        <s v="Aug"/>
        <s v="Nov"/>
        <s v="Mar"/>
        <s v="Jan"/>
        <s v="Dec"/>
        <s v="May"/>
        <s v="Oct"/>
        <s v="Apr"/>
        <s v="Sep"/>
        <s v="Feb"/>
      </sharedItems>
    </cacheField>
  </cacheFields>
  <extLst>
    <ext xmlns:x14="http://schemas.microsoft.com/office/spreadsheetml/2009/9/main" uri="{725AE2AE-9491-48be-B2B4-4EB974FC3084}">
      <x14:pivotCacheDefinition pivotCacheId="1988565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s v="2024-06-18"/>
    <x v="0"/>
    <x v="0"/>
    <x v="0"/>
    <n v="18531.32"/>
    <n v="5"/>
    <n v="2777.24"/>
    <x v="0"/>
    <x v="0"/>
    <x v="0"/>
  </r>
  <r>
    <s v="ORD0002"/>
    <s v="2024-07-26"/>
    <x v="1"/>
    <x v="1"/>
    <x v="0"/>
    <n v="34505.89"/>
    <n v="1"/>
    <n v="4593.2700000000004"/>
    <x v="0"/>
    <x v="0"/>
    <x v="1"/>
  </r>
  <r>
    <s v="ORD0003"/>
    <s v="2024-08-20"/>
    <x v="2"/>
    <x v="1"/>
    <x v="1"/>
    <n v="22210.77"/>
    <n v="2"/>
    <n v="3516.37"/>
    <x v="1"/>
    <x v="0"/>
    <x v="2"/>
  </r>
  <r>
    <s v="ORD0004"/>
    <s v="2024-11-12"/>
    <x v="3"/>
    <x v="0"/>
    <x v="2"/>
    <n v="19993.29"/>
    <n v="3"/>
    <n v="2521.27"/>
    <x v="0"/>
    <x v="0"/>
    <x v="3"/>
  </r>
  <r>
    <s v="ORD0005"/>
    <s v="2024-03-22"/>
    <x v="4"/>
    <x v="0"/>
    <x v="1"/>
    <n v="17238.37"/>
    <n v="5"/>
    <n v="2806.06"/>
    <x v="1"/>
    <x v="0"/>
    <x v="4"/>
  </r>
  <r>
    <s v="ORD0006"/>
    <s v="2024-01-23"/>
    <x v="5"/>
    <x v="2"/>
    <x v="0"/>
    <n v="15765.34"/>
    <n v="9"/>
    <n v="2276.5300000000002"/>
    <x v="2"/>
    <x v="0"/>
    <x v="5"/>
  </r>
  <r>
    <s v="ORD0007"/>
    <s v="2024-06-08"/>
    <x v="6"/>
    <x v="3"/>
    <x v="2"/>
    <n v="24570.48"/>
    <n v="8"/>
    <n v="5499.06"/>
    <x v="0"/>
    <x v="0"/>
    <x v="0"/>
  </r>
  <r>
    <s v="ORD0008"/>
    <s v="2024-07-23"/>
    <x v="4"/>
    <x v="0"/>
    <x v="0"/>
    <n v="47999.85"/>
    <n v="10"/>
    <n v="11570.12"/>
    <x v="0"/>
    <x v="0"/>
    <x v="1"/>
  </r>
  <r>
    <s v="ORD0009"/>
    <s v="2024-12-02"/>
    <x v="7"/>
    <x v="3"/>
    <x v="1"/>
    <n v="18340.7"/>
    <n v="10"/>
    <n v="2901.6"/>
    <x v="0"/>
    <x v="0"/>
    <x v="6"/>
  </r>
  <r>
    <s v="ORD0010"/>
    <s v="2024-05-10"/>
    <x v="6"/>
    <x v="3"/>
    <x v="2"/>
    <n v="24953.27"/>
    <n v="10"/>
    <n v="5674.05"/>
    <x v="2"/>
    <x v="0"/>
    <x v="7"/>
  </r>
  <r>
    <s v="ORD0011"/>
    <s v="2024-10-28"/>
    <x v="8"/>
    <x v="0"/>
    <x v="1"/>
    <n v="20620.689999999999"/>
    <n v="6"/>
    <n v="3173.65"/>
    <x v="0"/>
    <x v="0"/>
    <x v="8"/>
  </r>
  <r>
    <s v="ORD0012"/>
    <s v="2024-04-11"/>
    <x v="2"/>
    <x v="1"/>
    <x v="0"/>
    <n v="27514.26"/>
    <n v="1"/>
    <n v="3017.72"/>
    <x v="2"/>
    <x v="0"/>
    <x v="9"/>
  </r>
  <r>
    <s v="ORD0013"/>
    <s v="2024-09-19"/>
    <x v="9"/>
    <x v="1"/>
    <x v="1"/>
    <n v="20297.150000000001"/>
    <n v="5"/>
    <n v="3372.43"/>
    <x v="0"/>
    <x v="0"/>
    <x v="10"/>
  </r>
  <r>
    <s v="ORD0014"/>
    <s v="2024-11-01"/>
    <x v="3"/>
    <x v="0"/>
    <x v="3"/>
    <n v="25885.51"/>
    <n v="3"/>
    <n v="2650.21"/>
    <x v="1"/>
    <x v="0"/>
    <x v="3"/>
  </r>
  <r>
    <s v="ORD0015"/>
    <s v="2024-08-06"/>
    <x v="6"/>
    <x v="3"/>
    <x v="2"/>
    <n v="22488.57"/>
    <n v="2"/>
    <n v="4093.12"/>
    <x v="0"/>
    <x v="0"/>
    <x v="2"/>
  </r>
  <r>
    <s v="ORD0016"/>
    <s v="2024-08-16"/>
    <x v="10"/>
    <x v="2"/>
    <x v="0"/>
    <n v="14141.7"/>
    <n v="1"/>
    <n v="1185.0899999999999"/>
    <x v="0"/>
    <x v="0"/>
    <x v="2"/>
  </r>
  <r>
    <s v="ORD0017"/>
    <s v="2024-08-08"/>
    <x v="8"/>
    <x v="0"/>
    <x v="3"/>
    <n v="49876.74"/>
    <n v="8"/>
    <n v="7879.42"/>
    <x v="0"/>
    <x v="0"/>
    <x v="2"/>
  </r>
  <r>
    <s v="ORD0018"/>
    <s v="2024-10-26"/>
    <x v="10"/>
    <x v="2"/>
    <x v="2"/>
    <n v="20291.490000000002"/>
    <n v="8"/>
    <n v="2328.34"/>
    <x v="1"/>
    <x v="0"/>
    <x v="8"/>
  </r>
  <r>
    <s v="ORD0019"/>
    <s v="2024-06-15"/>
    <x v="11"/>
    <x v="2"/>
    <x v="3"/>
    <n v="40411.74"/>
    <n v="2"/>
    <n v="6930.33"/>
    <x v="0"/>
    <x v="0"/>
    <x v="0"/>
  </r>
  <r>
    <s v="ORD0020"/>
    <s v="2024-05-11"/>
    <x v="1"/>
    <x v="1"/>
    <x v="0"/>
    <n v="31285.72"/>
    <n v="2"/>
    <n v="7611.28"/>
    <x v="1"/>
    <x v="0"/>
    <x v="7"/>
  </r>
  <r>
    <s v="ORD0021"/>
    <s v="2024-01-19"/>
    <x v="12"/>
    <x v="1"/>
    <x v="0"/>
    <n v="46478.29"/>
    <n v="4"/>
    <n v="6124.71"/>
    <x v="1"/>
    <x v="0"/>
    <x v="5"/>
  </r>
  <r>
    <s v="ORD0022"/>
    <s v="2024-04-04"/>
    <x v="0"/>
    <x v="0"/>
    <x v="1"/>
    <n v="22952.560000000001"/>
    <n v="9"/>
    <n v="1648.22"/>
    <x v="0"/>
    <x v="0"/>
    <x v="9"/>
  </r>
  <r>
    <s v="ORD0023"/>
    <s v="2024-06-21"/>
    <x v="12"/>
    <x v="1"/>
    <x v="3"/>
    <n v="40490.339999999997"/>
    <n v="5"/>
    <n v="6995.83"/>
    <x v="1"/>
    <x v="0"/>
    <x v="0"/>
  </r>
  <r>
    <s v="ORD0024"/>
    <s v="2024-10-21"/>
    <x v="1"/>
    <x v="1"/>
    <x v="0"/>
    <n v="14449.64"/>
    <n v="9"/>
    <n v="2770.11"/>
    <x v="1"/>
    <x v="0"/>
    <x v="8"/>
  </r>
  <r>
    <s v="ORD0025"/>
    <s v="2024-04-13"/>
    <x v="2"/>
    <x v="1"/>
    <x v="1"/>
    <n v="34068.18"/>
    <n v="4"/>
    <n v="7367.86"/>
    <x v="0"/>
    <x v="0"/>
    <x v="9"/>
  </r>
  <r>
    <s v="ORD0026"/>
    <s v="2024-02-02"/>
    <x v="11"/>
    <x v="2"/>
    <x v="3"/>
    <n v="40078.83"/>
    <n v="6"/>
    <n v="4963.57"/>
    <x v="0"/>
    <x v="0"/>
    <x v="11"/>
  </r>
  <r>
    <s v="ORD0027"/>
    <s v="2024-03-10"/>
    <x v="1"/>
    <x v="1"/>
    <x v="2"/>
    <n v="20202.96"/>
    <n v="8"/>
    <n v="4173.3599999999997"/>
    <x v="0"/>
    <x v="0"/>
    <x v="4"/>
  </r>
  <r>
    <s v="ORD0028"/>
    <s v="2024-08-17"/>
    <x v="1"/>
    <x v="1"/>
    <x v="2"/>
    <n v="37055.83"/>
    <n v="10"/>
    <n v="2372.67"/>
    <x v="1"/>
    <x v="0"/>
    <x v="2"/>
  </r>
  <r>
    <s v="ORD0029"/>
    <s v="2024-08-11"/>
    <x v="1"/>
    <x v="1"/>
    <x v="2"/>
    <n v="5902.44"/>
    <n v="1"/>
    <n v="843.14"/>
    <x v="2"/>
    <x v="0"/>
    <x v="2"/>
  </r>
  <r>
    <s v="ORD0030"/>
    <s v="2024-10-20"/>
    <x v="13"/>
    <x v="3"/>
    <x v="0"/>
    <n v="40902.269999999997"/>
    <n v="6"/>
    <n v="10017.68"/>
    <x v="0"/>
    <x v="0"/>
    <x v="8"/>
  </r>
  <r>
    <s v="ORD0031"/>
    <s v="2024-02-02"/>
    <x v="4"/>
    <x v="0"/>
    <x v="3"/>
    <n v="9084.7999999999993"/>
    <n v="7"/>
    <n v="1248.1199999999999"/>
    <x v="2"/>
    <x v="0"/>
    <x v="11"/>
  </r>
  <r>
    <s v="ORD0032"/>
    <s v="2024-11-09"/>
    <x v="5"/>
    <x v="2"/>
    <x v="2"/>
    <n v="38185.89"/>
    <n v="8"/>
    <n v="5364.33"/>
    <x v="2"/>
    <x v="0"/>
    <x v="3"/>
  </r>
  <r>
    <s v="ORD0033"/>
    <s v="2024-07-01"/>
    <x v="9"/>
    <x v="1"/>
    <x v="0"/>
    <n v="9983"/>
    <n v="5"/>
    <n v="2032.5"/>
    <x v="0"/>
    <x v="0"/>
    <x v="1"/>
  </r>
  <r>
    <s v="ORD0034"/>
    <s v="2024-09-12"/>
    <x v="2"/>
    <x v="1"/>
    <x v="1"/>
    <n v="26027.22"/>
    <n v="5"/>
    <n v="2440.4499999999998"/>
    <x v="1"/>
    <x v="0"/>
    <x v="10"/>
  </r>
  <r>
    <s v="ORD0035"/>
    <s v="2024-03-29"/>
    <x v="5"/>
    <x v="2"/>
    <x v="2"/>
    <n v="39299.629999999997"/>
    <n v="5"/>
    <n v="4664.74"/>
    <x v="1"/>
    <x v="0"/>
    <x v="4"/>
  </r>
  <r>
    <s v="ORD0036"/>
    <s v="2024-12-06"/>
    <x v="7"/>
    <x v="3"/>
    <x v="2"/>
    <n v="47349.61"/>
    <n v="6"/>
    <n v="6245.86"/>
    <x v="2"/>
    <x v="0"/>
    <x v="6"/>
  </r>
  <r>
    <s v="ORD0037"/>
    <s v="2024-11-20"/>
    <x v="0"/>
    <x v="0"/>
    <x v="0"/>
    <n v="27499.58"/>
    <n v="7"/>
    <n v="6335.3"/>
    <x v="2"/>
    <x v="0"/>
    <x v="3"/>
  </r>
  <r>
    <s v="ORD0038"/>
    <s v="2024-02-15"/>
    <x v="14"/>
    <x v="2"/>
    <x v="3"/>
    <n v="10750.2"/>
    <n v="9"/>
    <n v="1250.71"/>
    <x v="1"/>
    <x v="0"/>
    <x v="11"/>
  </r>
  <r>
    <s v="ORD0039"/>
    <s v="2024-01-08"/>
    <x v="1"/>
    <x v="1"/>
    <x v="0"/>
    <n v="6942.01"/>
    <n v="3"/>
    <n v="1650.5"/>
    <x v="1"/>
    <x v="0"/>
    <x v="5"/>
  </r>
  <r>
    <s v="ORD0040"/>
    <s v="2024-01-13"/>
    <x v="10"/>
    <x v="2"/>
    <x v="1"/>
    <n v="42379.08"/>
    <n v="10"/>
    <n v="7481.4"/>
    <x v="0"/>
    <x v="0"/>
    <x v="5"/>
  </r>
  <r>
    <s v="ORD0041"/>
    <s v="2024-04-15"/>
    <x v="4"/>
    <x v="0"/>
    <x v="2"/>
    <n v="3956.79"/>
    <n v="7"/>
    <n v="297.41000000000003"/>
    <x v="0"/>
    <x v="0"/>
    <x v="9"/>
  </r>
  <r>
    <s v="ORD0042"/>
    <s v="2024-07-04"/>
    <x v="9"/>
    <x v="1"/>
    <x v="3"/>
    <n v="10268.120000000001"/>
    <n v="3"/>
    <n v="2175.75"/>
    <x v="0"/>
    <x v="0"/>
    <x v="1"/>
  </r>
  <r>
    <s v="ORD0043"/>
    <s v="2024-02-23"/>
    <x v="5"/>
    <x v="2"/>
    <x v="2"/>
    <n v="27227.7"/>
    <n v="2"/>
    <n v="4684.2299999999996"/>
    <x v="1"/>
    <x v="0"/>
    <x v="11"/>
  </r>
  <r>
    <s v="ORD0044"/>
    <s v="2024-02-16"/>
    <x v="7"/>
    <x v="3"/>
    <x v="1"/>
    <n v="48488.61"/>
    <n v="4"/>
    <n v="10036.700000000001"/>
    <x v="1"/>
    <x v="0"/>
    <x v="11"/>
  </r>
  <r>
    <s v="ORD0045"/>
    <s v="2024-07-18"/>
    <x v="8"/>
    <x v="0"/>
    <x v="1"/>
    <n v="21912.25"/>
    <n v="2"/>
    <n v="1503.57"/>
    <x v="1"/>
    <x v="0"/>
    <x v="1"/>
  </r>
  <r>
    <s v="ORD0046"/>
    <s v="2024-11-28"/>
    <x v="12"/>
    <x v="1"/>
    <x v="0"/>
    <n v="37579.9"/>
    <n v="9"/>
    <n v="5233.38"/>
    <x v="2"/>
    <x v="0"/>
    <x v="3"/>
  </r>
  <r>
    <s v="ORD0047"/>
    <s v="2024-01-17"/>
    <x v="11"/>
    <x v="2"/>
    <x v="2"/>
    <n v="45122.89"/>
    <n v="8"/>
    <n v="3978.27"/>
    <x v="0"/>
    <x v="0"/>
    <x v="5"/>
  </r>
  <r>
    <s v="ORD0048"/>
    <s v="2024-05-10"/>
    <x v="13"/>
    <x v="3"/>
    <x v="0"/>
    <n v="46535.92"/>
    <n v="1"/>
    <n v="2329.81"/>
    <x v="1"/>
    <x v="0"/>
    <x v="7"/>
  </r>
  <r>
    <s v="ORD0049"/>
    <s v="2024-02-04"/>
    <x v="0"/>
    <x v="0"/>
    <x v="2"/>
    <n v="17634.27"/>
    <n v="3"/>
    <n v="1654.93"/>
    <x v="2"/>
    <x v="0"/>
    <x v="11"/>
  </r>
  <r>
    <s v="ORD0050"/>
    <s v="2024-09-13"/>
    <x v="7"/>
    <x v="3"/>
    <x v="2"/>
    <n v="41207.32"/>
    <n v="4"/>
    <n v="7936.25"/>
    <x v="0"/>
    <x v="0"/>
    <x v="10"/>
  </r>
  <r>
    <s v="ORD0051"/>
    <s v="2024-05-27"/>
    <x v="14"/>
    <x v="2"/>
    <x v="2"/>
    <n v="24863.85"/>
    <n v="7"/>
    <n v="5603.45"/>
    <x v="1"/>
    <x v="0"/>
    <x v="7"/>
  </r>
  <r>
    <s v="ORD0052"/>
    <s v="2024-12-16"/>
    <x v="6"/>
    <x v="3"/>
    <x v="0"/>
    <n v="45713.54"/>
    <n v="1"/>
    <n v="8619.18"/>
    <x v="0"/>
    <x v="0"/>
    <x v="6"/>
  </r>
  <r>
    <s v="ORD0053"/>
    <s v="2024-03-25"/>
    <x v="3"/>
    <x v="0"/>
    <x v="2"/>
    <n v="13558.74"/>
    <n v="9"/>
    <n v="2818.1"/>
    <x v="1"/>
    <x v="0"/>
    <x v="4"/>
  </r>
  <r>
    <s v="ORD0054"/>
    <s v="2024-11-10"/>
    <x v="15"/>
    <x v="3"/>
    <x v="3"/>
    <n v="16749.7"/>
    <n v="2"/>
    <n v="1412.34"/>
    <x v="2"/>
    <x v="0"/>
    <x v="3"/>
  </r>
  <r>
    <s v="ORD0055"/>
    <s v="2024-11-06"/>
    <x v="4"/>
    <x v="0"/>
    <x v="3"/>
    <n v="3425.77"/>
    <n v="9"/>
    <n v="371.01"/>
    <x v="2"/>
    <x v="0"/>
    <x v="3"/>
  </r>
  <r>
    <s v="ORD0056"/>
    <s v="2024-05-01"/>
    <x v="5"/>
    <x v="2"/>
    <x v="2"/>
    <n v="11167.17"/>
    <n v="2"/>
    <n v="1851.49"/>
    <x v="1"/>
    <x v="0"/>
    <x v="7"/>
  </r>
  <r>
    <s v="ORD0057"/>
    <s v="2024-05-10"/>
    <x v="7"/>
    <x v="3"/>
    <x v="0"/>
    <n v="10255.77"/>
    <n v="10"/>
    <n v="1557.45"/>
    <x v="1"/>
    <x v="0"/>
    <x v="7"/>
  </r>
  <r>
    <s v="ORD0058"/>
    <s v="2024-12-26"/>
    <x v="14"/>
    <x v="2"/>
    <x v="2"/>
    <n v="18562.97"/>
    <n v="8"/>
    <n v="2232.91"/>
    <x v="2"/>
    <x v="0"/>
    <x v="6"/>
  </r>
  <r>
    <s v="ORD0059"/>
    <s v="2024-01-15"/>
    <x v="6"/>
    <x v="3"/>
    <x v="3"/>
    <n v="10925.16"/>
    <n v="5"/>
    <n v="2011.31"/>
    <x v="2"/>
    <x v="0"/>
    <x v="5"/>
  </r>
  <r>
    <s v="ORD0060"/>
    <s v="2024-07-04"/>
    <x v="0"/>
    <x v="0"/>
    <x v="0"/>
    <n v="31899.279999999999"/>
    <n v="1"/>
    <n v="6060.65"/>
    <x v="2"/>
    <x v="0"/>
    <x v="1"/>
  </r>
  <r>
    <s v="ORD0061"/>
    <s v="2024-01-17"/>
    <x v="7"/>
    <x v="3"/>
    <x v="0"/>
    <n v="47692.94"/>
    <n v="4"/>
    <n v="8829.73"/>
    <x v="1"/>
    <x v="0"/>
    <x v="5"/>
  </r>
  <r>
    <s v="ORD0062"/>
    <s v="2024-01-21"/>
    <x v="9"/>
    <x v="1"/>
    <x v="2"/>
    <n v="5044.38"/>
    <n v="7"/>
    <n v="1147.4000000000001"/>
    <x v="2"/>
    <x v="0"/>
    <x v="5"/>
  </r>
  <r>
    <s v="ORD0063"/>
    <s v="2024-08-23"/>
    <x v="10"/>
    <x v="2"/>
    <x v="3"/>
    <n v="4299.87"/>
    <n v="2"/>
    <n v="318.54000000000002"/>
    <x v="2"/>
    <x v="0"/>
    <x v="2"/>
  </r>
  <r>
    <s v="ORD0064"/>
    <s v="2024-07-31"/>
    <x v="11"/>
    <x v="2"/>
    <x v="0"/>
    <n v="5782.45"/>
    <n v="2"/>
    <n v="307.07"/>
    <x v="1"/>
    <x v="0"/>
    <x v="1"/>
  </r>
  <r>
    <s v="ORD0065"/>
    <s v="2024-05-30"/>
    <x v="2"/>
    <x v="1"/>
    <x v="3"/>
    <n v="18528.03"/>
    <n v="1"/>
    <n v="4312.1899999999996"/>
    <x v="2"/>
    <x v="0"/>
    <x v="7"/>
  </r>
  <r>
    <s v="ORD0066"/>
    <s v="2024-11-13"/>
    <x v="13"/>
    <x v="3"/>
    <x v="1"/>
    <n v="12275.84"/>
    <n v="7"/>
    <n v="1826.35"/>
    <x v="0"/>
    <x v="0"/>
    <x v="3"/>
  </r>
  <r>
    <s v="ORD0067"/>
    <s v="2024-07-07"/>
    <x v="12"/>
    <x v="1"/>
    <x v="1"/>
    <n v="2811.78"/>
    <n v="7"/>
    <n v="271.56"/>
    <x v="1"/>
    <x v="0"/>
    <x v="1"/>
  </r>
  <r>
    <s v="ORD0068"/>
    <s v="2024-06-02"/>
    <x v="3"/>
    <x v="0"/>
    <x v="3"/>
    <n v="34420.28"/>
    <n v="6"/>
    <n v="4455.3100000000004"/>
    <x v="1"/>
    <x v="0"/>
    <x v="0"/>
  </r>
  <r>
    <s v="ORD0069"/>
    <s v="2024-08-09"/>
    <x v="6"/>
    <x v="3"/>
    <x v="0"/>
    <n v="40791.5"/>
    <n v="1"/>
    <n v="3959.2"/>
    <x v="0"/>
    <x v="0"/>
    <x v="2"/>
  </r>
  <r>
    <s v="ORD0070"/>
    <s v="2024-11-15"/>
    <x v="1"/>
    <x v="1"/>
    <x v="2"/>
    <n v="8039.67"/>
    <n v="6"/>
    <n v="1682.42"/>
    <x v="1"/>
    <x v="0"/>
    <x v="3"/>
  </r>
  <r>
    <s v="ORD0071"/>
    <s v="2024-04-29"/>
    <x v="15"/>
    <x v="3"/>
    <x v="1"/>
    <n v="22616.41"/>
    <n v="9"/>
    <n v="4697.63"/>
    <x v="2"/>
    <x v="0"/>
    <x v="9"/>
  </r>
  <r>
    <s v="ORD0072"/>
    <s v="2024-11-30"/>
    <x v="7"/>
    <x v="3"/>
    <x v="0"/>
    <n v="17170.650000000001"/>
    <n v="4"/>
    <n v="3623.64"/>
    <x v="1"/>
    <x v="0"/>
    <x v="3"/>
  </r>
  <r>
    <s v="ORD0073"/>
    <s v="2024-01-10"/>
    <x v="9"/>
    <x v="1"/>
    <x v="0"/>
    <n v="26741.96"/>
    <n v="1"/>
    <n v="3274.04"/>
    <x v="0"/>
    <x v="0"/>
    <x v="5"/>
  </r>
  <r>
    <s v="ORD0074"/>
    <s v="2024-05-02"/>
    <x v="10"/>
    <x v="2"/>
    <x v="1"/>
    <n v="43582.86"/>
    <n v="7"/>
    <n v="7074.65"/>
    <x v="1"/>
    <x v="0"/>
    <x v="7"/>
  </r>
  <r>
    <s v="ORD0075"/>
    <s v="2024-06-24"/>
    <x v="8"/>
    <x v="0"/>
    <x v="3"/>
    <n v="5236.72"/>
    <n v="5"/>
    <n v="995.19"/>
    <x v="1"/>
    <x v="0"/>
    <x v="0"/>
  </r>
  <r>
    <s v="ORD0076"/>
    <s v="2024-08-15"/>
    <x v="14"/>
    <x v="2"/>
    <x v="3"/>
    <n v="38243.78"/>
    <n v="1"/>
    <n v="9476.14"/>
    <x v="2"/>
    <x v="0"/>
    <x v="2"/>
  </r>
  <r>
    <s v="ORD0077"/>
    <s v="2024-12-30"/>
    <x v="13"/>
    <x v="3"/>
    <x v="2"/>
    <n v="3598.86"/>
    <n v="6"/>
    <n v="810.01"/>
    <x v="2"/>
    <x v="0"/>
    <x v="6"/>
  </r>
  <r>
    <s v="ORD0078"/>
    <s v="2024-09-16"/>
    <x v="11"/>
    <x v="2"/>
    <x v="1"/>
    <n v="11069.74"/>
    <n v="2"/>
    <n v="2710.14"/>
    <x v="0"/>
    <x v="0"/>
    <x v="10"/>
  </r>
  <r>
    <s v="ORD0079"/>
    <s v="2024-03-31"/>
    <x v="7"/>
    <x v="3"/>
    <x v="3"/>
    <n v="15954.09"/>
    <n v="9"/>
    <n v="3420.17"/>
    <x v="0"/>
    <x v="0"/>
    <x v="4"/>
  </r>
  <r>
    <s v="ORD0080"/>
    <s v="2024-06-03"/>
    <x v="11"/>
    <x v="2"/>
    <x v="3"/>
    <n v="24323.29"/>
    <n v="10"/>
    <n v="3775.15"/>
    <x v="1"/>
    <x v="0"/>
    <x v="0"/>
  </r>
  <r>
    <s v="ORD0081"/>
    <s v="2024-01-26"/>
    <x v="11"/>
    <x v="2"/>
    <x v="0"/>
    <n v="23785.67"/>
    <n v="10"/>
    <n v="4566.74"/>
    <x v="2"/>
    <x v="0"/>
    <x v="5"/>
  </r>
  <r>
    <s v="ORD0082"/>
    <s v="2024-11-19"/>
    <x v="12"/>
    <x v="1"/>
    <x v="1"/>
    <n v="15286.64"/>
    <n v="4"/>
    <n v="3117.13"/>
    <x v="0"/>
    <x v="0"/>
    <x v="3"/>
  </r>
  <r>
    <s v="ORD0083"/>
    <s v="2024-01-20"/>
    <x v="1"/>
    <x v="1"/>
    <x v="1"/>
    <n v="31310.78"/>
    <n v="9"/>
    <n v="5405.51"/>
    <x v="2"/>
    <x v="0"/>
    <x v="5"/>
  </r>
  <r>
    <s v="ORD0084"/>
    <s v="2024-09-05"/>
    <x v="12"/>
    <x v="1"/>
    <x v="0"/>
    <n v="36873.54"/>
    <n v="6"/>
    <n v="8797.08"/>
    <x v="1"/>
    <x v="0"/>
    <x v="10"/>
  </r>
  <r>
    <s v="ORD0085"/>
    <s v="2024-06-18"/>
    <x v="7"/>
    <x v="3"/>
    <x v="3"/>
    <n v="45062.36"/>
    <n v="3"/>
    <n v="3860.06"/>
    <x v="2"/>
    <x v="0"/>
    <x v="0"/>
  </r>
  <r>
    <s v="ORD0086"/>
    <s v="2024-01-28"/>
    <x v="9"/>
    <x v="1"/>
    <x v="1"/>
    <n v="4367.32"/>
    <n v="10"/>
    <n v="900.67"/>
    <x v="2"/>
    <x v="0"/>
    <x v="5"/>
  </r>
  <r>
    <s v="ORD0087"/>
    <s v="2024-08-26"/>
    <x v="11"/>
    <x v="2"/>
    <x v="1"/>
    <n v="37125.9"/>
    <n v="9"/>
    <n v="8513.52"/>
    <x v="0"/>
    <x v="0"/>
    <x v="2"/>
  </r>
  <r>
    <s v="ORD0088"/>
    <s v="2024-01-22"/>
    <x v="5"/>
    <x v="2"/>
    <x v="0"/>
    <n v="41038.339999999997"/>
    <n v="9"/>
    <n v="7297.71"/>
    <x v="2"/>
    <x v="0"/>
    <x v="5"/>
  </r>
  <r>
    <s v="ORD0089"/>
    <s v="2024-11-05"/>
    <x v="7"/>
    <x v="3"/>
    <x v="0"/>
    <n v="17375.490000000002"/>
    <n v="4"/>
    <n v="2809.61"/>
    <x v="2"/>
    <x v="0"/>
    <x v="3"/>
  </r>
  <r>
    <s v="ORD0090"/>
    <s v="2024-06-08"/>
    <x v="14"/>
    <x v="2"/>
    <x v="0"/>
    <n v="18563.22"/>
    <n v="10"/>
    <n v="3326.71"/>
    <x v="2"/>
    <x v="0"/>
    <x v="0"/>
  </r>
  <r>
    <s v="ORD0091"/>
    <s v="2024-05-24"/>
    <x v="6"/>
    <x v="3"/>
    <x v="3"/>
    <n v="47071.66"/>
    <n v="2"/>
    <n v="4434.4799999999996"/>
    <x v="1"/>
    <x v="0"/>
    <x v="7"/>
  </r>
  <r>
    <s v="ORD0092"/>
    <s v="2024-11-23"/>
    <x v="3"/>
    <x v="0"/>
    <x v="1"/>
    <n v="10539.62"/>
    <n v="5"/>
    <n v="2577.3000000000002"/>
    <x v="0"/>
    <x v="0"/>
    <x v="3"/>
  </r>
  <r>
    <s v="ORD0093"/>
    <s v="2024-12-14"/>
    <x v="5"/>
    <x v="2"/>
    <x v="2"/>
    <n v="44833.71"/>
    <n v="9"/>
    <n v="6791.04"/>
    <x v="1"/>
    <x v="0"/>
    <x v="6"/>
  </r>
  <r>
    <s v="ORD0094"/>
    <s v="2024-04-10"/>
    <x v="9"/>
    <x v="1"/>
    <x v="1"/>
    <n v="49124.95"/>
    <n v="6"/>
    <n v="9413.2099999999991"/>
    <x v="1"/>
    <x v="0"/>
    <x v="9"/>
  </r>
  <r>
    <s v="ORD0095"/>
    <s v="2024-12-06"/>
    <x v="0"/>
    <x v="0"/>
    <x v="0"/>
    <n v="39922.43"/>
    <n v="5"/>
    <n v="3425.83"/>
    <x v="1"/>
    <x v="0"/>
    <x v="6"/>
  </r>
  <r>
    <s v="ORD0096"/>
    <s v="2024-07-15"/>
    <x v="4"/>
    <x v="0"/>
    <x v="3"/>
    <n v="4664.57"/>
    <n v="7"/>
    <n v="418.36"/>
    <x v="2"/>
    <x v="0"/>
    <x v="1"/>
  </r>
  <r>
    <s v="ORD0097"/>
    <s v="2024-09-24"/>
    <x v="6"/>
    <x v="3"/>
    <x v="1"/>
    <n v="26361.99"/>
    <n v="4"/>
    <n v="6457.84"/>
    <x v="1"/>
    <x v="0"/>
    <x v="10"/>
  </r>
  <r>
    <s v="ORD0098"/>
    <s v="2024-03-16"/>
    <x v="0"/>
    <x v="0"/>
    <x v="0"/>
    <n v="4534.76"/>
    <n v="10"/>
    <n v="1097.3499999999999"/>
    <x v="0"/>
    <x v="0"/>
    <x v="4"/>
  </r>
  <r>
    <s v="ORD0099"/>
    <s v="2024-06-12"/>
    <x v="13"/>
    <x v="3"/>
    <x v="2"/>
    <n v="8202.6"/>
    <n v="4"/>
    <n v="1888.03"/>
    <x v="2"/>
    <x v="0"/>
    <x v="0"/>
  </r>
  <r>
    <s v="ORD0100"/>
    <s v="2024-07-16"/>
    <x v="10"/>
    <x v="2"/>
    <x v="2"/>
    <n v="33249.81"/>
    <n v="7"/>
    <n v="6687.48"/>
    <x v="1"/>
    <x v="0"/>
    <x v="1"/>
  </r>
  <r>
    <s v="ORD0101"/>
    <s v="2024-01-01"/>
    <x v="2"/>
    <x v="1"/>
    <x v="2"/>
    <n v="3917.63"/>
    <n v="9"/>
    <n v="264.26"/>
    <x v="2"/>
    <x v="0"/>
    <x v="5"/>
  </r>
  <r>
    <s v="ORD0102"/>
    <s v="2024-05-14"/>
    <x v="13"/>
    <x v="3"/>
    <x v="3"/>
    <n v="20635.349999999999"/>
    <n v="6"/>
    <n v="4350.76"/>
    <x v="0"/>
    <x v="0"/>
    <x v="7"/>
  </r>
  <r>
    <s v="ORD0103"/>
    <s v="2024-06-23"/>
    <x v="8"/>
    <x v="0"/>
    <x v="2"/>
    <n v="43498.81"/>
    <n v="5"/>
    <n v="6311.9"/>
    <x v="2"/>
    <x v="0"/>
    <x v="0"/>
  </r>
  <r>
    <s v="ORD0104"/>
    <s v="2024-10-02"/>
    <x v="0"/>
    <x v="0"/>
    <x v="1"/>
    <n v="42902.77"/>
    <n v="5"/>
    <n v="9368.0400000000009"/>
    <x v="0"/>
    <x v="0"/>
    <x v="8"/>
  </r>
  <r>
    <s v="ORD0105"/>
    <s v="2024-03-08"/>
    <x v="5"/>
    <x v="2"/>
    <x v="3"/>
    <n v="31000.11"/>
    <n v="10"/>
    <n v="1733.45"/>
    <x v="2"/>
    <x v="0"/>
    <x v="4"/>
  </r>
  <r>
    <s v="ORD0106"/>
    <s v="2024-08-14"/>
    <x v="4"/>
    <x v="0"/>
    <x v="1"/>
    <n v="13936.6"/>
    <n v="3"/>
    <n v="2068.4299999999998"/>
    <x v="0"/>
    <x v="0"/>
    <x v="2"/>
  </r>
  <r>
    <s v="ORD0107"/>
    <s v="2024-08-01"/>
    <x v="10"/>
    <x v="2"/>
    <x v="3"/>
    <n v="24171.57"/>
    <n v="3"/>
    <n v="1548.41"/>
    <x v="0"/>
    <x v="0"/>
    <x v="2"/>
  </r>
  <r>
    <s v="ORD0108"/>
    <s v="2024-06-09"/>
    <x v="15"/>
    <x v="3"/>
    <x v="0"/>
    <n v="9741.67"/>
    <n v="3"/>
    <n v="770.27"/>
    <x v="2"/>
    <x v="0"/>
    <x v="0"/>
  </r>
  <r>
    <s v="ORD0109"/>
    <s v="2024-04-30"/>
    <x v="13"/>
    <x v="3"/>
    <x v="3"/>
    <n v="6239.77"/>
    <n v="4"/>
    <n v="317.48"/>
    <x v="2"/>
    <x v="0"/>
    <x v="9"/>
  </r>
  <r>
    <s v="ORD0110"/>
    <s v="2024-01-01"/>
    <x v="8"/>
    <x v="0"/>
    <x v="0"/>
    <n v="39028.21"/>
    <n v="9"/>
    <n v="2846.91"/>
    <x v="0"/>
    <x v="0"/>
    <x v="5"/>
  </r>
  <r>
    <s v="ORD0111"/>
    <s v="2024-09-19"/>
    <x v="0"/>
    <x v="0"/>
    <x v="2"/>
    <n v="30109.93"/>
    <n v="2"/>
    <n v="5651.23"/>
    <x v="0"/>
    <x v="0"/>
    <x v="10"/>
  </r>
  <r>
    <s v="ORD0112"/>
    <s v="2024-05-06"/>
    <x v="14"/>
    <x v="2"/>
    <x v="2"/>
    <n v="45532.72"/>
    <n v="7"/>
    <n v="4062.53"/>
    <x v="1"/>
    <x v="0"/>
    <x v="7"/>
  </r>
  <r>
    <s v="ORD0113"/>
    <s v="2024-09-09"/>
    <x v="6"/>
    <x v="3"/>
    <x v="2"/>
    <n v="19374.63"/>
    <n v="10"/>
    <n v="3161.26"/>
    <x v="1"/>
    <x v="0"/>
    <x v="10"/>
  </r>
  <r>
    <s v="ORD0114"/>
    <s v="2024-02-25"/>
    <x v="5"/>
    <x v="2"/>
    <x v="0"/>
    <n v="43487.27"/>
    <n v="7"/>
    <n v="7984.9"/>
    <x v="1"/>
    <x v="0"/>
    <x v="11"/>
  </r>
  <r>
    <s v="ORD0115"/>
    <s v="2024-04-05"/>
    <x v="6"/>
    <x v="3"/>
    <x v="2"/>
    <n v="47456.34"/>
    <n v="5"/>
    <n v="4343.25"/>
    <x v="1"/>
    <x v="0"/>
    <x v="9"/>
  </r>
  <r>
    <s v="ORD0116"/>
    <s v="2024-09-12"/>
    <x v="14"/>
    <x v="2"/>
    <x v="3"/>
    <n v="4602.07"/>
    <n v="4"/>
    <n v="1149.3800000000001"/>
    <x v="1"/>
    <x v="0"/>
    <x v="10"/>
  </r>
  <r>
    <s v="ORD0117"/>
    <s v="2024-07-29"/>
    <x v="6"/>
    <x v="3"/>
    <x v="2"/>
    <n v="2918.63"/>
    <n v="4"/>
    <n v="235.04"/>
    <x v="2"/>
    <x v="0"/>
    <x v="1"/>
  </r>
  <r>
    <s v="ORD0118"/>
    <s v="2024-12-19"/>
    <x v="3"/>
    <x v="0"/>
    <x v="1"/>
    <n v="42329.120000000003"/>
    <n v="3"/>
    <n v="10259.86"/>
    <x v="1"/>
    <x v="0"/>
    <x v="6"/>
  </r>
  <r>
    <s v="ORD0119"/>
    <s v="2024-01-05"/>
    <x v="15"/>
    <x v="3"/>
    <x v="0"/>
    <n v="44082.67"/>
    <n v="3"/>
    <n v="3124.56"/>
    <x v="0"/>
    <x v="0"/>
    <x v="5"/>
  </r>
  <r>
    <s v="ORD0120"/>
    <s v="2024-06-17"/>
    <x v="3"/>
    <x v="0"/>
    <x v="3"/>
    <n v="9122.17"/>
    <n v="4"/>
    <n v="2081.27"/>
    <x v="2"/>
    <x v="0"/>
    <x v="0"/>
  </r>
  <r>
    <s v="ORD0121"/>
    <s v="2024-03-23"/>
    <x v="2"/>
    <x v="1"/>
    <x v="1"/>
    <n v="29336.63"/>
    <n v="10"/>
    <n v="1733.68"/>
    <x v="2"/>
    <x v="0"/>
    <x v="4"/>
  </r>
  <r>
    <s v="ORD0122"/>
    <s v="2024-08-23"/>
    <x v="5"/>
    <x v="2"/>
    <x v="0"/>
    <n v="31845.79"/>
    <n v="6"/>
    <n v="7216.31"/>
    <x v="1"/>
    <x v="0"/>
    <x v="2"/>
  </r>
  <r>
    <s v="ORD0123"/>
    <s v="2024-05-21"/>
    <x v="11"/>
    <x v="2"/>
    <x v="2"/>
    <n v="12610.94"/>
    <n v="1"/>
    <n v="2089.5100000000002"/>
    <x v="2"/>
    <x v="0"/>
    <x v="7"/>
  </r>
  <r>
    <s v="ORD0124"/>
    <s v="2024-05-22"/>
    <x v="2"/>
    <x v="1"/>
    <x v="3"/>
    <n v="41732.29"/>
    <n v="9"/>
    <n v="8738.9"/>
    <x v="2"/>
    <x v="0"/>
    <x v="7"/>
  </r>
  <r>
    <s v="ORD0125"/>
    <s v="2024-04-29"/>
    <x v="4"/>
    <x v="0"/>
    <x v="2"/>
    <n v="8148.72"/>
    <n v="3"/>
    <n v="1415.04"/>
    <x v="0"/>
    <x v="0"/>
    <x v="9"/>
  </r>
  <r>
    <s v="ORD0126"/>
    <s v="2024-06-26"/>
    <x v="3"/>
    <x v="0"/>
    <x v="3"/>
    <n v="45113.01"/>
    <n v="6"/>
    <n v="4599.8999999999996"/>
    <x v="0"/>
    <x v="0"/>
    <x v="0"/>
  </r>
  <r>
    <s v="ORD0127"/>
    <s v="2024-05-01"/>
    <x v="15"/>
    <x v="3"/>
    <x v="3"/>
    <n v="20100.599999999999"/>
    <n v="3"/>
    <n v="4338.42"/>
    <x v="0"/>
    <x v="0"/>
    <x v="7"/>
  </r>
  <r>
    <s v="ORD0128"/>
    <s v="2024-04-05"/>
    <x v="13"/>
    <x v="3"/>
    <x v="3"/>
    <n v="45817.83"/>
    <n v="9"/>
    <n v="8054.51"/>
    <x v="0"/>
    <x v="0"/>
    <x v="9"/>
  </r>
  <r>
    <s v="ORD0129"/>
    <s v="2024-02-22"/>
    <x v="11"/>
    <x v="2"/>
    <x v="0"/>
    <n v="11601.19"/>
    <n v="6"/>
    <n v="2310.31"/>
    <x v="1"/>
    <x v="0"/>
    <x v="11"/>
  </r>
  <r>
    <s v="ORD0130"/>
    <s v="2024-12-11"/>
    <x v="7"/>
    <x v="3"/>
    <x v="1"/>
    <n v="3221.68"/>
    <n v="9"/>
    <n v="489.72"/>
    <x v="0"/>
    <x v="0"/>
    <x v="6"/>
  </r>
  <r>
    <s v="ORD0131"/>
    <s v="2024-09-08"/>
    <x v="3"/>
    <x v="0"/>
    <x v="1"/>
    <n v="10274.219999999999"/>
    <n v="7"/>
    <n v="2157.92"/>
    <x v="1"/>
    <x v="0"/>
    <x v="10"/>
  </r>
  <r>
    <s v="ORD0132"/>
    <s v="2024-12-24"/>
    <x v="2"/>
    <x v="1"/>
    <x v="3"/>
    <n v="36599.75"/>
    <n v="2"/>
    <n v="5328.44"/>
    <x v="0"/>
    <x v="0"/>
    <x v="6"/>
  </r>
  <r>
    <s v="ORD0133"/>
    <s v="2024-11-17"/>
    <x v="11"/>
    <x v="2"/>
    <x v="2"/>
    <n v="20275.259999999998"/>
    <n v="3"/>
    <n v="4931.75"/>
    <x v="2"/>
    <x v="0"/>
    <x v="3"/>
  </r>
  <r>
    <s v="ORD0134"/>
    <s v="2024-10-18"/>
    <x v="4"/>
    <x v="0"/>
    <x v="0"/>
    <n v="45053.25"/>
    <n v="2"/>
    <n v="9448.73"/>
    <x v="2"/>
    <x v="0"/>
    <x v="8"/>
  </r>
  <r>
    <s v="ORD0135"/>
    <s v="2024-04-10"/>
    <x v="3"/>
    <x v="0"/>
    <x v="0"/>
    <n v="16513.05"/>
    <n v="10"/>
    <n v="2238.88"/>
    <x v="0"/>
    <x v="0"/>
    <x v="9"/>
  </r>
  <r>
    <s v="ORD0136"/>
    <s v="2024-02-07"/>
    <x v="5"/>
    <x v="2"/>
    <x v="1"/>
    <n v="12406.52"/>
    <n v="3"/>
    <n v="2184.3000000000002"/>
    <x v="1"/>
    <x v="0"/>
    <x v="11"/>
  </r>
  <r>
    <s v="ORD0137"/>
    <s v="2024-07-02"/>
    <x v="3"/>
    <x v="0"/>
    <x v="0"/>
    <n v="2597.6999999999998"/>
    <n v="1"/>
    <n v="208.56"/>
    <x v="2"/>
    <x v="0"/>
    <x v="1"/>
  </r>
  <r>
    <s v="ORD0138"/>
    <s v="2024-01-10"/>
    <x v="4"/>
    <x v="0"/>
    <x v="2"/>
    <n v="8303.02"/>
    <n v="10"/>
    <n v="1671.1"/>
    <x v="2"/>
    <x v="0"/>
    <x v="5"/>
  </r>
  <r>
    <s v="ORD0139"/>
    <s v="2024-05-07"/>
    <x v="11"/>
    <x v="2"/>
    <x v="0"/>
    <n v="34969.120000000003"/>
    <n v="5"/>
    <n v="6151.93"/>
    <x v="0"/>
    <x v="0"/>
    <x v="7"/>
  </r>
  <r>
    <s v="ORD0140"/>
    <s v="2024-12-20"/>
    <x v="5"/>
    <x v="2"/>
    <x v="1"/>
    <n v="4942.25"/>
    <n v="9"/>
    <n v="784.23"/>
    <x v="0"/>
    <x v="0"/>
    <x v="6"/>
  </r>
  <r>
    <s v="ORD0141"/>
    <s v="2024-09-04"/>
    <x v="5"/>
    <x v="2"/>
    <x v="3"/>
    <n v="24309.54"/>
    <n v="6"/>
    <n v="3642.61"/>
    <x v="2"/>
    <x v="0"/>
    <x v="10"/>
  </r>
  <r>
    <s v="ORD0142"/>
    <s v="2024-05-28"/>
    <x v="8"/>
    <x v="0"/>
    <x v="0"/>
    <n v="4685"/>
    <n v="5"/>
    <n v="759.65"/>
    <x v="1"/>
    <x v="0"/>
    <x v="7"/>
  </r>
  <r>
    <s v="ORD0143"/>
    <s v="2024-10-06"/>
    <x v="9"/>
    <x v="1"/>
    <x v="1"/>
    <n v="7129.79"/>
    <n v="6"/>
    <n v="593.45000000000005"/>
    <x v="2"/>
    <x v="0"/>
    <x v="8"/>
  </r>
  <r>
    <s v="ORD0144"/>
    <s v="2024-12-08"/>
    <x v="14"/>
    <x v="2"/>
    <x v="2"/>
    <n v="33813.58"/>
    <n v="9"/>
    <n v="2321.4499999999998"/>
    <x v="0"/>
    <x v="0"/>
    <x v="6"/>
  </r>
  <r>
    <s v="ORD0145"/>
    <s v="2024-10-07"/>
    <x v="15"/>
    <x v="3"/>
    <x v="1"/>
    <n v="34141.599999999999"/>
    <n v="2"/>
    <n v="5417.41"/>
    <x v="0"/>
    <x v="0"/>
    <x v="8"/>
  </r>
  <r>
    <s v="ORD0146"/>
    <s v="2024-01-11"/>
    <x v="1"/>
    <x v="1"/>
    <x v="1"/>
    <n v="29943.02"/>
    <n v="7"/>
    <n v="7192.21"/>
    <x v="2"/>
    <x v="0"/>
    <x v="5"/>
  </r>
  <r>
    <s v="ORD0147"/>
    <s v="2024-08-16"/>
    <x v="11"/>
    <x v="2"/>
    <x v="0"/>
    <n v="36055.99"/>
    <n v="3"/>
    <n v="4977.49"/>
    <x v="0"/>
    <x v="0"/>
    <x v="2"/>
  </r>
  <r>
    <s v="ORD0148"/>
    <s v="2024-12-30"/>
    <x v="13"/>
    <x v="3"/>
    <x v="1"/>
    <n v="22139.54"/>
    <n v="3"/>
    <n v="2316.84"/>
    <x v="1"/>
    <x v="0"/>
    <x v="6"/>
  </r>
  <r>
    <s v="ORD0149"/>
    <s v="2024-10-17"/>
    <x v="12"/>
    <x v="1"/>
    <x v="0"/>
    <n v="48680.67"/>
    <n v="7"/>
    <n v="6083.08"/>
    <x v="1"/>
    <x v="0"/>
    <x v="8"/>
  </r>
  <r>
    <s v="ORD0150"/>
    <s v="2024-07-24"/>
    <x v="1"/>
    <x v="1"/>
    <x v="0"/>
    <n v="1377.8"/>
    <n v="7"/>
    <n v="103.42"/>
    <x v="0"/>
    <x v="0"/>
    <x v="1"/>
  </r>
  <r>
    <s v="ORD0151"/>
    <s v="2024-06-25"/>
    <x v="4"/>
    <x v="0"/>
    <x v="1"/>
    <n v="13024.98"/>
    <n v="8"/>
    <n v="3097.48"/>
    <x v="0"/>
    <x v="0"/>
    <x v="0"/>
  </r>
  <r>
    <s v="ORD0152"/>
    <s v="2024-11-14"/>
    <x v="2"/>
    <x v="1"/>
    <x v="2"/>
    <n v="29600.3"/>
    <n v="6"/>
    <n v="2481.89"/>
    <x v="1"/>
    <x v="0"/>
    <x v="3"/>
  </r>
  <r>
    <s v="ORD0153"/>
    <s v="2024-10-24"/>
    <x v="9"/>
    <x v="1"/>
    <x v="3"/>
    <n v="19124.21"/>
    <n v="8"/>
    <n v="3570.71"/>
    <x v="1"/>
    <x v="0"/>
    <x v="8"/>
  </r>
  <r>
    <s v="ORD0154"/>
    <s v="2024-05-02"/>
    <x v="9"/>
    <x v="1"/>
    <x v="0"/>
    <n v="6835.38"/>
    <n v="10"/>
    <n v="1607.52"/>
    <x v="0"/>
    <x v="0"/>
    <x v="7"/>
  </r>
  <r>
    <s v="ORD0155"/>
    <s v="2024-01-09"/>
    <x v="8"/>
    <x v="0"/>
    <x v="2"/>
    <n v="13795.26"/>
    <n v="9"/>
    <n v="1767.23"/>
    <x v="0"/>
    <x v="0"/>
    <x v="5"/>
  </r>
  <r>
    <s v="ORD0156"/>
    <s v="2024-05-08"/>
    <x v="6"/>
    <x v="3"/>
    <x v="2"/>
    <n v="38119.18"/>
    <n v="10"/>
    <n v="6983.96"/>
    <x v="1"/>
    <x v="0"/>
    <x v="7"/>
  </r>
  <r>
    <s v="ORD0157"/>
    <s v="2024-12-12"/>
    <x v="10"/>
    <x v="2"/>
    <x v="2"/>
    <n v="26080.38"/>
    <n v="6"/>
    <n v="4681.4799999999996"/>
    <x v="2"/>
    <x v="0"/>
    <x v="6"/>
  </r>
  <r>
    <s v="ORD0158"/>
    <s v="2024-08-23"/>
    <x v="4"/>
    <x v="0"/>
    <x v="3"/>
    <n v="32689.25"/>
    <n v="7"/>
    <n v="3894.72"/>
    <x v="2"/>
    <x v="0"/>
    <x v="2"/>
  </r>
  <r>
    <s v="ORD0159"/>
    <s v="2024-03-09"/>
    <x v="1"/>
    <x v="1"/>
    <x v="1"/>
    <n v="27431.15"/>
    <n v="8"/>
    <n v="5740.84"/>
    <x v="2"/>
    <x v="0"/>
    <x v="4"/>
  </r>
  <r>
    <s v="ORD0160"/>
    <s v="2024-08-12"/>
    <x v="4"/>
    <x v="0"/>
    <x v="3"/>
    <n v="18445.54"/>
    <n v="8"/>
    <n v="2291.2399999999998"/>
    <x v="1"/>
    <x v="0"/>
    <x v="2"/>
  </r>
  <r>
    <s v="ORD0161"/>
    <s v="2024-05-29"/>
    <x v="1"/>
    <x v="1"/>
    <x v="1"/>
    <n v="38821"/>
    <n v="3"/>
    <n v="5172.72"/>
    <x v="2"/>
    <x v="0"/>
    <x v="7"/>
  </r>
  <r>
    <s v="ORD0162"/>
    <s v="2024-09-19"/>
    <x v="10"/>
    <x v="2"/>
    <x v="2"/>
    <n v="3508.91"/>
    <n v="4"/>
    <n v="366.41"/>
    <x v="2"/>
    <x v="0"/>
    <x v="10"/>
  </r>
  <r>
    <s v="ORD0163"/>
    <s v="2024-08-08"/>
    <x v="0"/>
    <x v="0"/>
    <x v="1"/>
    <n v="19858.05"/>
    <n v="4"/>
    <n v="2957.01"/>
    <x v="1"/>
    <x v="0"/>
    <x v="2"/>
  </r>
  <r>
    <s v="ORD0164"/>
    <s v="2024-02-26"/>
    <x v="2"/>
    <x v="1"/>
    <x v="2"/>
    <n v="42599.41"/>
    <n v="8"/>
    <n v="8373.2199999999993"/>
    <x v="2"/>
    <x v="0"/>
    <x v="11"/>
  </r>
  <r>
    <s v="ORD0165"/>
    <s v="2024-04-25"/>
    <x v="11"/>
    <x v="2"/>
    <x v="1"/>
    <n v="29045.75"/>
    <n v="1"/>
    <n v="5460.45"/>
    <x v="2"/>
    <x v="0"/>
    <x v="9"/>
  </r>
  <r>
    <s v="ORD0166"/>
    <s v="2024-09-26"/>
    <x v="15"/>
    <x v="3"/>
    <x v="1"/>
    <n v="35397.94"/>
    <n v="4"/>
    <n v="7695.37"/>
    <x v="2"/>
    <x v="0"/>
    <x v="10"/>
  </r>
  <r>
    <s v="ORD0167"/>
    <s v="2024-04-14"/>
    <x v="12"/>
    <x v="1"/>
    <x v="3"/>
    <n v="27594.92"/>
    <n v="8"/>
    <n v="6177.88"/>
    <x v="1"/>
    <x v="0"/>
    <x v="9"/>
  </r>
  <r>
    <s v="ORD0168"/>
    <s v="2024-11-22"/>
    <x v="9"/>
    <x v="1"/>
    <x v="0"/>
    <n v="17698.2"/>
    <n v="2"/>
    <n v="1003.73"/>
    <x v="0"/>
    <x v="0"/>
    <x v="3"/>
  </r>
  <r>
    <s v="ORD0169"/>
    <s v="2024-09-10"/>
    <x v="6"/>
    <x v="3"/>
    <x v="2"/>
    <n v="42260.54"/>
    <n v="4"/>
    <n v="5375.14"/>
    <x v="2"/>
    <x v="0"/>
    <x v="10"/>
  </r>
  <r>
    <s v="ORD0170"/>
    <s v="2024-01-07"/>
    <x v="1"/>
    <x v="1"/>
    <x v="3"/>
    <n v="14143.63"/>
    <n v="3"/>
    <n v="2559.4499999999998"/>
    <x v="0"/>
    <x v="0"/>
    <x v="5"/>
  </r>
  <r>
    <s v="ORD0171"/>
    <s v="2024-06-17"/>
    <x v="2"/>
    <x v="1"/>
    <x v="2"/>
    <n v="15738.24"/>
    <n v="6"/>
    <n v="3878.93"/>
    <x v="2"/>
    <x v="0"/>
    <x v="0"/>
  </r>
  <r>
    <s v="ORD0172"/>
    <s v="2024-08-08"/>
    <x v="3"/>
    <x v="0"/>
    <x v="3"/>
    <n v="32372.47"/>
    <n v="5"/>
    <n v="4838.76"/>
    <x v="0"/>
    <x v="0"/>
    <x v="2"/>
  </r>
  <r>
    <s v="ORD0173"/>
    <s v="2024-10-16"/>
    <x v="4"/>
    <x v="0"/>
    <x v="3"/>
    <n v="32405.52"/>
    <n v="7"/>
    <n v="6408.49"/>
    <x v="2"/>
    <x v="0"/>
    <x v="8"/>
  </r>
  <r>
    <s v="ORD0174"/>
    <s v="2024-12-08"/>
    <x v="1"/>
    <x v="1"/>
    <x v="0"/>
    <n v="23156.59"/>
    <n v="1"/>
    <n v="4824.6000000000004"/>
    <x v="1"/>
    <x v="0"/>
    <x v="6"/>
  </r>
  <r>
    <s v="ORD0175"/>
    <s v="2024-01-22"/>
    <x v="5"/>
    <x v="2"/>
    <x v="0"/>
    <n v="35390.51"/>
    <n v="6"/>
    <n v="7778.97"/>
    <x v="2"/>
    <x v="0"/>
    <x v="5"/>
  </r>
  <r>
    <s v="ORD0176"/>
    <s v="2024-09-05"/>
    <x v="6"/>
    <x v="3"/>
    <x v="0"/>
    <n v="15272.07"/>
    <n v="5"/>
    <n v="1254.43"/>
    <x v="2"/>
    <x v="0"/>
    <x v="10"/>
  </r>
  <r>
    <s v="ORD0177"/>
    <s v="2024-11-23"/>
    <x v="13"/>
    <x v="3"/>
    <x v="2"/>
    <n v="31924.84"/>
    <n v="8"/>
    <n v="2879.56"/>
    <x v="1"/>
    <x v="0"/>
    <x v="3"/>
  </r>
  <r>
    <s v="ORD0178"/>
    <s v="2024-07-10"/>
    <x v="3"/>
    <x v="0"/>
    <x v="1"/>
    <n v="25517.37"/>
    <n v="10"/>
    <n v="4421.72"/>
    <x v="2"/>
    <x v="0"/>
    <x v="1"/>
  </r>
  <r>
    <s v="ORD0179"/>
    <s v="2024-04-03"/>
    <x v="9"/>
    <x v="1"/>
    <x v="2"/>
    <n v="21642.82"/>
    <n v="4"/>
    <n v="4771.22"/>
    <x v="0"/>
    <x v="0"/>
    <x v="9"/>
  </r>
  <r>
    <s v="ORD0180"/>
    <s v="2024-09-01"/>
    <x v="6"/>
    <x v="3"/>
    <x v="1"/>
    <n v="38115.64"/>
    <n v="7"/>
    <n v="8983.42"/>
    <x v="1"/>
    <x v="0"/>
    <x v="10"/>
  </r>
  <r>
    <s v="ORD0181"/>
    <s v="2024-09-03"/>
    <x v="3"/>
    <x v="0"/>
    <x v="1"/>
    <n v="25139.8"/>
    <n v="9"/>
    <n v="1604.24"/>
    <x v="1"/>
    <x v="0"/>
    <x v="10"/>
  </r>
  <r>
    <s v="ORD0182"/>
    <s v="2024-07-03"/>
    <x v="0"/>
    <x v="0"/>
    <x v="2"/>
    <n v="9375.59"/>
    <n v="4"/>
    <n v="2161.81"/>
    <x v="1"/>
    <x v="0"/>
    <x v="1"/>
  </r>
  <r>
    <s v="ORD0183"/>
    <s v="2024-02-21"/>
    <x v="12"/>
    <x v="1"/>
    <x v="2"/>
    <n v="16110.18"/>
    <n v="2"/>
    <n v="3853.32"/>
    <x v="1"/>
    <x v="0"/>
    <x v="11"/>
  </r>
  <r>
    <s v="ORD0184"/>
    <s v="2024-05-30"/>
    <x v="3"/>
    <x v="0"/>
    <x v="1"/>
    <n v="9660.6200000000008"/>
    <n v="2"/>
    <n v="1887.85"/>
    <x v="2"/>
    <x v="0"/>
    <x v="7"/>
  </r>
  <r>
    <s v="ORD0185"/>
    <s v="2024-09-26"/>
    <x v="10"/>
    <x v="2"/>
    <x v="2"/>
    <n v="33897.68"/>
    <n v="9"/>
    <n v="2446.98"/>
    <x v="0"/>
    <x v="0"/>
    <x v="10"/>
  </r>
  <r>
    <s v="ORD0186"/>
    <s v="2024-03-05"/>
    <x v="1"/>
    <x v="1"/>
    <x v="1"/>
    <n v="49394.9"/>
    <n v="2"/>
    <n v="2624.48"/>
    <x v="2"/>
    <x v="0"/>
    <x v="4"/>
  </r>
  <r>
    <s v="ORD0187"/>
    <s v="2024-02-05"/>
    <x v="11"/>
    <x v="2"/>
    <x v="1"/>
    <n v="7605.28"/>
    <n v="6"/>
    <n v="762.66"/>
    <x v="1"/>
    <x v="0"/>
    <x v="11"/>
  </r>
  <r>
    <s v="ORD0188"/>
    <s v="2024-07-06"/>
    <x v="11"/>
    <x v="2"/>
    <x v="0"/>
    <n v="37862.269999999997"/>
    <n v="7"/>
    <n v="3803.28"/>
    <x v="1"/>
    <x v="0"/>
    <x v="1"/>
  </r>
  <r>
    <s v="ORD0189"/>
    <s v="2024-01-31"/>
    <x v="14"/>
    <x v="2"/>
    <x v="1"/>
    <n v="44399.45"/>
    <n v="3"/>
    <n v="7357.02"/>
    <x v="0"/>
    <x v="0"/>
    <x v="5"/>
  </r>
  <r>
    <s v="ORD0190"/>
    <s v="2024-04-27"/>
    <x v="9"/>
    <x v="1"/>
    <x v="1"/>
    <n v="19309.28"/>
    <n v="5"/>
    <n v="4168.1400000000003"/>
    <x v="0"/>
    <x v="0"/>
    <x v="9"/>
  </r>
  <r>
    <s v="ORD0191"/>
    <s v="2024-11-12"/>
    <x v="11"/>
    <x v="2"/>
    <x v="1"/>
    <n v="45699.86"/>
    <n v="3"/>
    <n v="8695.68"/>
    <x v="0"/>
    <x v="0"/>
    <x v="3"/>
  </r>
  <r>
    <s v="ORD0192"/>
    <s v="2024-10-31"/>
    <x v="1"/>
    <x v="1"/>
    <x v="2"/>
    <n v="19156.240000000002"/>
    <n v="2"/>
    <n v="1938.9"/>
    <x v="2"/>
    <x v="0"/>
    <x v="8"/>
  </r>
  <r>
    <s v="ORD0193"/>
    <s v="2024-09-10"/>
    <x v="1"/>
    <x v="1"/>
    <x v="2"/>
    <n v="37507.06"/>
    <n v="5"/>
    <n v="6443.08"/>
    <x v="1"/>
    <x v="0"/>
    <x v="10"/>
  </r>
  <r>
    <s v="ORD0194"/>
    <s v="2024-09-03"/>
    <x v="1"/>
    <x v="1"/>
    <x v="1"/>
    <n v="30326.51"/>
    <n v="2"/>
    <n v="2698.24"/>
    <x v="2"/>
    <x v="0"/>
    <x v="10"/>
  </r>
  <r>
    <s v="ORD0195"/>
    <s v="2024-12-28"/>
    <x v="12"/>
    <x v="1"/>
    <x v="3"/>
    <n v="4646.87"/>
    <n v="6"/>
    <n v="530.58000000000004"/>
    <x v="2"/>
    <x v="0"/>
    <x v="6"/>
  </r>
  <r>
    <s v="ORD0196"/>
    <s v="2024-09-13"/>
    <x v="12"/>
    <x v="1"/>
    <x v="1"/>
    <n v="18529.87"/>
    <n v="10"/>
    <n v="1548.21"/>
    <x v="2"/>
    <x v="0"/>
    <x v="10"/>
  </r>
  <r>
    <s v="ORD0197"/>
    <s v="2024-03-29"/>
    <x v="6"/>
    <x v="3"/>
    <x v="1"/>
    <n v="27197.84"/>
    <n v="8"/>
    <n v="6392.78"/>
    <x v="2"/>
    <x v="0"/>
    <x v="4"/>
  </r>
  <r>
    <s v="ORD0198"/>
    <s v="2024-01-06"/>
    <x v="11"/>
    <x v="2"/>
    <x v="0"/>
    <n v="19667.560000000001"/>
    <n v="5"/>
    <n v="4075.63"/>
    <x v="2"/>
    <x v="0"/>
    <x v="5"/>
  </r>
  <r>
    <s v="ORD0199"/>
    <s v="2024-03-25"/>
    <x v="14"/>
    <x v="2"/>
    <x v="0"/>
    <n v="29645.31"/>
    <n v="5"/>
    <n v="1774.56"/>
    <x v="0"/>
    <x v="0"/>
    <x v="4"/>
  </r>
  <r>
    <s v="ORD0200"/>
    <s v="2024-07-23"/>
    <x v="3"/>
    <x v="0"/>
    <x v="1"/>
    <n v="2846.62"/>
    <n v="7"/>
    <n v="573.86"/>
    <x v="1"/>
    <x v="0"/>
    <x v="1"/>
  </r>
  <r>
    <s v="ORD0201"/>
    <s v="2024-04-10"/>
    <x v="1"/>
    <x v="1"/>
    <x v="3"/>
    <n v="43360.46"/>
    <n v="4"/>
    <n v="6315.4"/>
    <x v="0"/>
    <x v="0"/>
    <x v="9"/>
  </r>
  <r>
    <s v="ORD0202"/>
    <s v="2024-05-20"/>
    <x v="14"/>
    <x v="2"/>
    <x v="3"/>
    <n v="31057.18"/>
    <n v="8"/>
    <n v="3233.27"/>
    <x v="2"/>
    <x v="0"/>
    <x v="7"/>
  </r>
  <r>
    <s v="ORD0203"/>
    <s v="2024-10-27"/>
    <x v="2"/>
    <x v="1"/>
    <x v="2"/>
    <n v="10599.51"/>
    <n v="1"/>
    <n v="1191.6099999999999"/>
    <x v="0"/>
    <x v="0"/>
    <x v="8"/>
  </r>
  <r>
    <s v="ORD0204"/>
    <s v="2024-12-02"/>
    <x v="4"/>
    <x v="0"/>
    <x v="2"/>
    <n v="7161.57"/>
    <n v="6"/>
    <n v="992.3"/>
    <x v="1"/>
    <x v="0"/>
    <x v="6"/>
  </r>
  <r>
    <s v="ORD0205"/>
    <s v="2024-10-05"/>
    <x v="2"/>
    <x v="1"/>
    <x v="1"/>
    <n v="48287.6"/>
    <n v="8"/>
    <n v="7155.28"/>
    <x v="2"/>
    <x v="0"/>
    <x v="8"/>
  </r>
  <r>
    <s v="ORD0206"/>
    <s v="2024-03-31"/>
    <x v="8"/>
    <x v="0"/>
    <x v="1"/>
    <n v="4063.47"/>
    <n v="1"/>
    <n v="485.86"/>
    <x v="2"/>
    <x v="0"/>
    <x v="4"/>
  </r>
  <r>
    <s v="ORD0207"/>
    <s v="2024-11-04"/>
    <x v="0"/>
    <x v="0"/>
    <x v="0"/>
    <n v="38777.879999999997"/>
    <n v="10"/>
    <n v="2193.33"/>
    <x v="2"/>
    <x v="0"/>
    <x v="3"/>
  </r>
  <r>
    <s v="ORD0208"/>
    <s v="2024-10-29"/>
    <x v="13"/>
    <x v="3"/>
    <x v="2"/>
    <n v="20547.61"/>
    <n v="5"/>
    <n v="1499.29"/>
    <x v="2"/>
    <x v="0"/>
    <x v="8"/>
  </r>
  <r>
    <s v="ORD0209"/>
    <s v="2024-09-15"/>
    <x v="14"/>
    <x v="2"/>
    <x v="2"/>
    <n v="38708.71"/>
    <n v="5"/>
    <n v="9270.74"/>
    <x v="2"/>
    <x v="0"/>
    <x v="10"/>
  </r>
  <r>
    <s v="ORD0210"/>
    <s v="2024-01-23"/>
    <x v="11"/>
    <x v="2"/>
    <x v="3"/>
    <n v="25516.9"/>
    <n v="4"/>
    <n v="3344.7"/>
    <x v="1"/>
    <x v="0"/>
    <x v="5"/>
  </r>
  <r>
    <s v="ORD0211"/>
    <s v="2024-03-02"/>
    <x v="13"/>
    <x v="3"/>
    <x v="3"/>
    <n v="30218.05"/>
    <n v="6"/>
    <n v="6961.01"/>
    <x v="1"/>
    <x v="0"/>
    <x v="4"/>
  </r>
  <r>
    <s v="ORD0212"/>
    <s v="2024-09-08"/>
    <x v="1"/>
    <x v="1"/>
    <x v="2"/>
    <n v="11154.65"/>
    <n v="6"/>
    <n v="663.39"/>
    <x v="2"/>
    <x v="0"/>
    <x v="10"/>
  </r>
  <r>
    <s v="ORD0213"/>
    <s v="2024-03-17"/>
    <x v="15"/>
    <x v="3"/>
    <x v="1"/>
    <n v="11560.33"/>
    <n v="7"/>
    <n v="771.76"/>
    <x v="1"/>
    <x v="0"/>
    <x v="4"/>
  </r>
  <r>
    <s v="ORD0214"/>
    <s v="2024-12-10"/>
    <x v="8"/>
    <x v="0"/>
    <x v="0"/>
    <n v="6942.29"/>
    <n v="5"/>
    <n v="1174.9100000000001"/>
    <x v="2"/>
    <x v="0"/>
    <x v="6"/>
  </r>
  <r>
    <s v="ORD0215"/>
    <s v="2024-06-05"/>
    <x v="14"/>
    <x v="2"/>
    <x v="2"/>
    <n v="13467.32"/>
    <n v="10"/>
    <n v="3158"/>
    <x v="1"/>
    <x v="0"/>
    <x v="0"/>
  </r>
  <r>
    <s v="ORD0216"/>
    <s v="2024-03-29"/>
    <x v="10"/>
    <x v="2"/>
    <x v="1"/>
    <n v="42071.21"/>
    <n v="10"/>
    <n v="3655.4"/>
    <x v="2"/>
    <x v="0"/>
    <x v="4"/>
  </r>
  <r>
    <s v="ORD0217"/>
    <s v="2024-11-05"/>
    <x v="14"/>
    <x v="2"/>
    <x v="3"/>
    <n v="34159.21"/>
    <n v="3"/>
    <n v="3223.8"/>
    <x v="1"/>
    <x v="0"/>
    <x v="3"/>
  </r>
  <r>
    <s v="ORD0218"/>
    <s v="2024-04-26"/>
    <x v="9"/>
    <x v="1"/>
    <x v="3"/>
    <n v="3420.44"/>
    <n v="4"/>
    <n v="686.99"/>
    <x v="1"/>
    <x v="0"/>
    <x v="9"/>
  </r>
  <r>
    <s v="ORD0219"/>
    <s v="2024-11-01"/>
    <x v="7"/>
    <x v="3"/>
    <x v="1"/>
    <n v="21500.32"/>
    <n v="5"/>
    <n v="3962.9"/>
    <x v="2"/>
    <x v="0"/>
    <x v="3"/>
  </r>
  <r>
    <s v="ORD0220"/>
    <s v="2024-02-05"/>
    <x v="2"/>
    <x v="1"/>
    <x v="1"/>
    <n v="26822.09"/>
    <n v="10"/>
    <n v="4660.3599999999997"/>
    <x v="2"/>
    <x v="0"/>
    <x v="11"/>
  </r>
  <r>
    <s v="ORD0221"/>
    <s v="2024-12-20"/>
    <x v="0"/>
    <x v="0"/>
    <x v="1"/>
    <n v="44371.81"/>
    <n v="6"/>
    <n v="6166.95"/>
    <x v="0"/>
    <x v="0"/>
    <x v="6"/>
  </r>
  <r>
    <s v="ORD0222"/>
    <s v="2024-11-08"/>
    <x v="8"/>
    <x v="0"/>
    <x v="1"/>
    <n v="35281.42"/>
    <n v="7"/>
    <n v="8322.6299999999992"/>
    <x v="2"/>
    <x v="0"/>
    <x v="3"/>
  </r>
  <r>
    <s v="ORD0223"/>
    <s v="2024-05-07"/>
    <x v="12"/>
    <x v="1"/>
    <x v="2"/>
    <n v="5724.26"/>
    <n v="9"/>
    <n v="1134.6099999999999"/>
    <x v="0"/>
    <x v="0"/>
    <x v="7"/>
  </r>
  <r>
    <s v="ORD0224"/>
    <s v="2024-05-10"/>
    <x v="6"/>
    <x v="3"/>
    <x v="2"/>
    <n v="23434.5"/>
    <n v="10"/>
    <n v="3549.09"/>
    <x v="2"/>
    <x v="0"/>
    <x v="7"/>
  </r>
  <r>
    <s v="ORD0225"/>
    <s v="2024-12-14"/>
    <x v="9"/>
    <x v="1"/>
    <x v="0"/>
    <n v="12184.95"/>
    <n v="5"/>
    <n v="2658.68"/>
    <x v="0"/>
    <x v="0"/>
    <x v="6"/>
  </r>
  <r>
    <s v="ORD0226"/>
    <s v="2024-10-20"/>
    <x v="9"/>
    <x v="1"/>
    <x v="2"/>
    <n v="11247.68"/>
    <n v="9"/>
    <n v="1902.27"/>
    <x v="1"/>
    <x v="0"/>
    <x v="8"/>
  </r>
  <r>
    <s v="ORD0227"/>
    <s v="2024-06-25"/>
    <x v="4"/>
    <x v="0"/>
    <x v="2"/>
    <n v="37335.56"/>
    <n v="2"/>
    <n v="8189.56"/>
    <x v="0"/>
    <x v="0"/>
    <x v="0"/>
  </r>
  <r>
    <s v="ORD0228"/>
    <s v="2024-03-17"/>
    <x v="14"/>
    <x v="2"/>
    <x v="1"/>
    <n v="5139.1099999999997"/>
    <n v="4"/>
    <n v="276.49"/>
    <x v="2"/>
    <x v="0"/>
    <x v="4"/>
  </r>
  <r>
    <s v="ORD0229"/>
    <s v="2024-07-18"/>
    <x v="2"/>
    <x v="1"/>
    <x v="2"/>
    <n v="36543.68"/>
    <n v="8"/>
    <n v="8494.3799999999992"/>
    <x v="0"/>
    <x v="0"/>
    <x v="1"/>
  </r>
  <r>
    <s v="ORD0230"/>
    <s v="2024-07-22"/>
    <x v="7"/>
    <x v="3"/>
    <x v="0"/>
    <n v="6057.37"/>
    <n v="2"/>
    <n v="1508.73"/>
    <x v="1"/>
    <x v="0"/>
    <x v="1"/>
  </r>
  <r>
    <s v="ORD0231"/>
    <s v="2024-01-07"/>
    <x v="13"/>
    <x v="3"/>
    <x v="1"/>
    <n v="25243.77"/>
    <n v="3"/>
    <n v="5131.46"/>
    <x v="0"/>
    <x v="0"/>
    <x v="5"/>
  </r>
  <r>
    <s v="ORD0232"/>
    <s v="2024-01-01"/>
    <x v="9"/>
    <x v="1"/>
    <x v="2"/>
    <n v="11867.81"/>
    <n v="1"/>
    <n v="2450.8200000000002"/>
    <x v="0"/>
    <x v="0"/>
    <x v="5"/>
  </r>
  <r>
    <s v="ORD0233"/>
    <s v="2024-08-14"/>
    <x v="6"/>
    <x v="3"/>
    <x v="0"/>
    <n v="38753.15"/>
    <n v="8"/>
    <n v="9536.09"/>
    <x v="1"/>
    <x v="0"/>
    <x v="2"/>
  </r>
  <r>
    <s v="ORD0234"/>
    <s v="2024-06-21"/>
    <x v="5"/>
    <x v="2"/>
    <x v="0"/>
    <n v="40131.629999999997"/>
    <n v="9"/>
    <n v="5693.4"/>
    <x v="2"/>
    <x v="0"/>
    <x v="0"/>
  </r>
  <r>
    <s v="ORD0235"/>
    <s v="2024-04-29"/>
    <x v="3"/>
    <x v="0"/>
    <x v="2"/>
    <n v="46211.68"/>
    <n v="2"/>
    <n v="10038.26"/>
    <x v="0"/>
    <x v="0"/>
    <x v="9"/>
  </r>
  <r>
    <s v="ORD0236"/>
    <s v="2024-05-02"/>
    <x v="15"/>
    <x v="3"/>
    <x v="3"/>
    <n v="39965.050000000003"/>
    <n v="4"/>
    <n v="7265.7"/>
    <x v="2"/>
    <x v="0"/>
    <x v="7"/>
  </r>
  <r>
    <s v="ORD0237"/>
    <s v="2024-09-22"/>
    <x v="0"/>
    <x v="0"/>
    <x v="2"/>
    <n v="7292.81"/>
    <n v="7"/>
    <n v="1080.3499999999999"/>
    <x v="2"/>
    <x v="0"/>
    <x v="10"/>
  </r>
  <r>
    <s v="ORD0238"/>
    <s v="2024-03-05"/>
    <x v="0"/>
    <x v="0"/>
    <x v="2"/>
    <n v="971.56"/>
    <n v="9"/>
    <n v="68.69"/>
    <x v="0"/>
    <x v="0"/>
    <x v="4"/>
  </r>
  <r>
    <s v="ORD0239"/>
    <s v="2024-07-27"/>
    <x v="7"/>
    <x v="3"/>
    <x v="1"/>
    <n v="1850.93"/>
    <n v="8"/>
    <n v="285.99"/>
    <x v="0"/>
    <x v="0"/>
    <x v="1"/>
  </r>
  <r>
    <s v="ORD0240"/>
    <s v="2024-01-18"/>
    <x v="13"/>
    <x v="3"/>
    <x v="0"/>
    <n v="36819.980000000003"/>
    <n v="6"/>
    <n v="8229.17"/>
    <x v="1"/>
    <x v="0"/>
    <x v="5"/>
  </r>
  <r>
    <s v="ORD0241"/>
    <s v="2024-08-24"/>
    <x v="12"/>
    <x v="1"/>
    <x v="0"/>
    <n v="43159.7"/>
    <n v="9"/>
    <n v="3080.25"/>
    <x v="1"/>
    <x v="0"/>
    <x v="2"/>
  </r>
  <r>
    <s v="ORD0242"/>
    <s v="2024-06-07"/>
    <x v="5"/>
    <x v="2"/>
    <x v="1"/>
    <n v="10179.92"/>
    <n v="3"/>
    <n v="1753.08"/>
    <x v="1"/>
    <x v="0"/>
    <x v="0"/>
  </r>
  <r>
    <s v="ORD0243"/>
    <s v="2024-05-27"/>
    <x v="11"/>
    <x v="2"/>
    <x v="3"/>
    <n v="27386.38"/>
    <n v="6"/>
    <n v="3449.73"/>
    <x v="0"/>
    <x v="0"/>
    <x v="7"/>
  </r>
  <r>
    <s v="ORD0244"/>
    <s v="2024-08-07"/>
    <x v="0"/>
    <x v="0"/>
    <x v="1"/>
    <n v="42357.52"/>
    <n v="5"/>
    <n v="7645.34"/>
    <x v="2"/>
    <x v="0"/>
    <x v="2"/>
  </r>
  <r>
    <s v="ORD0245"/>
    <s v="2024-10-28"/>
    <x v="3"/>
    <x v="0"/>
    <x v="1"/>
    <n v="13756.89"/>
    <n v="3"/>
    <n v="2283.38"/>
    <x v="2"/>
    <x v="0"/>
    <x v="8"/>
  </r>
  <r>
    <s v="ORD0246"/>
    <s v="2024-05-18"/>
    <x v="3"/>
    <x v="0"/>
    <x v="1"/>
    <n v="33455.589999999997"/>
    <n v="10"/>
    <n v="3428.75"/>
    <x v="0"/>
    <x v="0"/>
    <x v="7"/>
  </r>
  <r>
    <s v="ORD0247"/>
    <s v="2024-04-11"/>
    <x v="5"/>
    <x v="2"/>
    <x v="0"/>
    <n v="43552.02"/>
    <n v="9"/>
    <n v="8221.86"/>
    <x v="0"/>
    <x v="0"/>
    <x v="9"/>
  </r>
  <r>
    <s v="ORD0248"/>
    <s v="2024-02-26"/>
    <x v="12"/>
    <x v="1"/>
    <x v="0"/>
    <n v="33059.199999999997"/>
    <n v="10"/>
    <n v="1955.48"/>
    <x v="2"/>
    <x v="0"/>
    <x v="11"/>
  </r>
  <r>
    <s v="ORD0249"/>
    <s v="2024-10-02"/>
    <x v="0"/>
    <x v="0"/>
    <x v="0"/>
    <n v="45959.19"/>
    <n v="3"/>
    <n v="3747.55"/>
    <x v="0"/>
    <x v="0"/>
    <x v="8"/>
  </r>
  <r>
    <s v="ORD0250"/>
    <s v="2024-03-07"/>
    <x v="4"/>
    <x v="0"/>
    <x v="1"/>
    <n v="10944.63"/>
    <n v="9"/>
    <n v="2545.77"/>
    <x v="1"/>
    <x v="0"/>
    <x v="4"/>
  </r>
  <r>
    <s v="ORD0251"/>
    <s v="2024-02-20"/>
    <x v="14"/>
    <x v="2"/>
    <x v="0"/>
    <n v="40382.65"/>
    <n v="9"/>
    <n v="5333.83"/>
    <x v="2"/>
    <x v="0"/>
    <x v="11"/>
  </r>
  <r>
    <s v="ORD0252"/>
    <s v="2024-11-05"/>
    <x v="5"/>
    <x v="2"/>
    <x v="1"/>
    <n v="33881.160000000003"/>
    <n v="5"/>
    <n v="6382.43"/>
    <x v="0"/>
    <x v="0"/>
    <x v="3"/>
  </r>
  <r>
    <s v="ORD0253"/>
    <s v="2024-11-01"/>
    <x v="1"/>
    <x v="1"/>
    <x v="0"/>
    <n v="42291.95"/>
    <n v="3"/>
    <n v="8460.2900000000009"/>
    <x v="0"/>
    <x v="0"/>
    <x v="3"/>
  </r>
  <r>
    <s v="ORD0254"/>
    <s v="2024-05-22"/>
    <x v="14"/>
    <x v="2"/>
    <x v="2"/>
    <n v="3572.2"/>
    <n v="5"/>
    <n v="415.99"/>
    <x v="0"/>
    <x v="0"/>
    <x v="7"/>
  </r>
  <r>
    <s v="ORD0255"/>
    <s v="2024-06-03"/>
    <x v="15"/>
    <x v="3"/>
    <x v="3"/>
    <n v="36830.6"/>
    <n v="5"/>
    <n v="6266.22"/>
    <x v="1"/>
    <x v="0"/>
    <x v="0"/>
  </r>
  <r>
    <s v="ORD0256"/>
    <s v="2024-09-01"/>
    <x v="2"/>
    <x v="1"/>
    <x v="0"/>
    <n v="46391.17"/>
    <n v="10"/>
    <n v="3279.79"/>
    <x v="0"/>
    <x v="0"/>
    <x v="10"/>
  </r>
  <r>
    <s v="ORD0257"/>
    <s v="2024-04-07"/>
    <x v="10"/>
    <x v="2"/>
    <x v="0"/>
    <n v="15649.26"/>
    <n v="1"/>
    <n v="3690.08"/>
    <x v="0"/>
    <x v="0"/>
    <x v="9"/>
  </r>
  <r>
    <s v="ORD0258"/>
    <s v="2024-02-03"/>
    <x v="14"/>
    <x v="2"/>
    <x v="2"/>
    <n v="14962.24"/>
    <n v="3"/>
    <n v="846.57"/>
    <x v="2"/>
    <x v="0"/>
    <x v="11"/>
  </r>
  <r>
    <s v="ORD0259"/>
    <s v="2024-10-07"/>
    <x v="4"/>
    <x v="0"/>
    <x v="0"/>
    <n v="8927.36"/>
    <n v="6"/>
    <n v="454.08"/>
    <x v="1"/>
    <x v="0"/>
    <x v="8"/>
  </r>
  <r>
    <s v="ORD0260"/>
    <s v="2024-01-08"/>
    <x v="2"/>
    <x v="1"/>
    <x v="0"/>
    <n v="41063.5"/>
    <n v="3"/>
    <n v="4365.91"/>
    <x v="1"/>
    <x v="0"/>
    <x v="5"/>
  </r>
  <r>
    <s v="ORD0261"/>
    <s v="2024-11-22"/>
    <x v="13"/>
    <x v="3"/>
    <x v="2"/>
    <n v="39404.33"/>
    <n v="7"/>
    <n v="8237.41"/>
    <x v="1"/>
    <x v="0"/>
    <x v="3"/>
  </r>
  <r>
    <s v="ORD0262"/>
    <s v="2024-10-27"/>
    <x v="4"/>
    <x v="0"/>
    <x v="3"/>
    <n v="46853.46"/>
    <n v="5"/>
    <n v="10672.14"/>
    <x v="2"/>
    <x v="0"/>
    <x v="8"/>
  </r>
  <r>
    <s v="ORD0263"/>
    <s v="2024-03-01"/>
    <x v="14"/>
    <x v="2"/>
    <x v="0"/>
    <n v="27578.45"/>
    <n v="3"/>
    <n v="1702.02"/>
    <x v="1"/>
    <x v="0"/>
    <x v="4"/>
  </r>
  <r>
    <s v="ORD0264"/>
    <s v="2024-07-02"/>
    <x v="0"/>
    <x v="0"/>
    <x v="1"/>
    <n v="38857.599999999999"/>
    <n v="8"/>
    <n v="8322.64"/>
    <x v="2"/>
    <x v="0"/>
    <x v="1"/>
  </r>
  <r>
    <s v="ORD0265"/>
    <s v="2024-06-22"/>
    <x v="4"/>
    <x v="0"/>
    <x v="0"/>
    <n v="44273.64"/>
    <n v="7"/>
    <n v="10387.27"/>
    <x v="1"/>
    <x v="0"/>
    <x v="0"/>
  </r>
  <r>
    <s v="ORD0266"/>
    <s v="2024-09-16"/>
    <x v="15"/>
    <x v="3"/>
    <x v="2"/>
    <n v="48875.05"/>
    <n v="5"/>
    <n v="3965.79"/>
    <x v="1"/>
    <x v="0"/>
    <x v="10"/>
  </r>
  <r>
    <s v="ORD0267"/>
    <s v="2024-12-24"/>
    <x v="13"/>
    <x v="3"/>
    <x v="3"/>
    <n v="43003.12"/>
    <n v="10"/>
    <n v="8913.84"/>
    <x v="1"/>
    <x v="0"/>
    <x v="6"/>
  </r>
  <r>
    <s v="ORD0268"/>
    <s v="2024-07-08"/>
    <x v="5"/>
    <x v="2"/>
    <x v="0"/>
    <n v="19867.169999999998"/>
    <n v="5"/>
    <n v="1345.93"/>
    <x v="1"/>
    <x v="0"/>
    <x v="1"/>
  </r>
  <r>
    <s v="ORD0269"/>
    <s v="2024-03-24"/>
    <x v="2"/>
    <x v="1"/>
    <x v="0"/>
    <n v="16518.830000000002"/>
    <n v="1"/>
    <n v="2362.83"/>
    <x v="2"/>
    <x v="0"/>
    <x v="4"/>
  </r>
  <r>
    <s v="ORD0270"/>
    <s v="2024-03-07"/>
    <x v="14"/>
    <x v="2"/>
    <x v="0"/>
    <n v="32322.93"/>
    <n v="8"/>
    <n v="2314.0500000000002"/>
    <x v="1"/>
    <x v="0"/>
    <x v="4"/>
  </r>
  <r>
    <s v="ORD0271"/>
    <s v="2024-01-02"/>
    <x v="3"/>
    <x v="0"/>
    <x v="3"/>
    <n v="47672.03"/>
    <n v="3"/>
    <n v="6002.64"/>
    <x v="2"/>
    <x v="0"/>
    <x v="5"/>
  </r>
  <r>
    <s v="ORD0272"/>
    <s v="2024-08-26"/>
    <x v="10"/>
    <x v="2"/>
    <x v="2"/>
    <n v="12286.81"/>
    <n v="7"/>
    <n v="2874.82"/>
    <x v="1"/>
    <x v="0"/>
    <x v="2"/>
  </r>
  <r>
    <s v="ORD0273"/>
    <s v="2024-04-17"/>
    <x v="1"/>
    <x v="1"/>
    <x v="1"/>
    <n v="11067.76"/>
    <n v="6"/>
    <n v="2576.21"/>
    <x v="0"/>
    <x v="0"/>
    <x v="9"/>
  </r>
  <r>
    <s v="ORD0274"/>
    <s v="2024-02-25"/>
    <x v="3"/>
    <x v="0"/>
    <x v="1"/>
    <n v="26193.56"/>
    <n v="1"/>
    <n v="2421.62"/>
    <x v="2"/>
    <x v="0"/>
    <x v="11"/>
  </r>
  <r>
    <s v="ORD0275"/>
    <s v="2024-08-26"/>
    <x v="14"/>
    <x v="2"/>
    <x v="0"/>
    <n v="49813.03"/>
    <n v="2"/>
    <n v="6244.69"/>
    <x v="1"/>
    <x v="0"/>
    <x v="2"/>
  </r>
  <r>
    <s v="ORD0276"/>
    <s v="2024-12-12"/>
    <x v="6"/>
    <x v="3"/>
    <x v="1"/>
    <n v="29313.7"/>
    <n v="1"/>
    <n v="5458.01"/>
    <x v="0"/>
    <x v="0"/>
    <x v="6"/>
  </r>
  <r>
    <s v="ORD0277"/>
    <s v="2024-05-24"/>
    <x v="1"/>
    <x v="1"/>
    <x v="2"/>
    <n v="26883.91"/>
    <n v="3"/>
    <n v="4981.7700000000004"/>
    <x v="0"/>
    <x v="0"/>
    <x v="7"/>
  </r>
  <r>
    <s v="ORD0278"/>
    <s v="2024-04-09"/>
    <x v="4"/>
    <x v="0"/>
    <x v="3"/>
    <n v="34317.79"/>
    <n v="9"/>
    <n v="7220.64"/>
    <x v="0"/>
    <x v="0"/>
    <x v="9"/>
  </r>
  <r>
    <s v="ORD0279"/>
    <s v="2024-06-06"/>
    <x v="2"/>
    <x v="1"/>
    <x v="2"/>
    <n v="49786.77"/>
    <n v="2"/>
    <n v="9427.06"/>
    <x v="0"/>
    <x v="0"/>
    <x v="0"/>
  </r>
  <r>
    <s v="ORD0280"/>
    <s v="2024-10-17"/>
    <x v="15"/>
    <x v="3"/>
    <x v="3"/>
    <n v="23247.19"/>
    <n v="7"/>
    <n v="2056.06"/>
    <x v="2"/>
    <x v="0"/>
    <x v="8"/>
  </r>
  <r>
    <s v="ORD0281"/>
    <s v="2024-01-07"/>
    <x v="11"/>
    <x v="2"/>
    <x v="0"/>
    <n v="4579.05"/>
    <n v="8"/>
    <n v="482.13"/>
    <x v="0"/>
    <x v="0"/>
    <x v="5"/>
  </r>
  <r>
    <s v="ORD0282"/>
    <s v="2024-09-22"/>
    <x v="6"/>
    <x v="3"/>
    <x v="3"/>
    <n v="6127.8"/>
    <n v="6"/>
    <n v="1073.5999999999999"/>
    <x v="1"/>
    <x v="0"/>
    <x v="10"/>
  </r>
  <r>
    <s v="ORD0283"/>
    <s v="2024-12-22"/>
    <x v="9"/>
    <x v="1"/>
    <x v="3"/>
    <n v="49520.61"/>
    <n v="6"/>
    <n v="11164.98"/>
    <x v="0"/>
    <x v="0"/>
    <x v="6"/>
  </r>
  <r>
    <s v="ORD0284"/>
    <s v="2024-07-05"/>
    <x v="9"/>
    <x v="1"/>
    <x v="0"/>
    <n v="29307.96"/>
    <n v="2"/>
    <n v="5092"/>
    <x v="0"/>
    <x v="0"/>
    <x v="1"/>
  </r>
  <r>
    <s v="ORD0285"/>
    <s v="2024-07-30"/>
    <x v="5"/>
    <x v="2"/>
    <x v="1"/>
    <n v="39125.32"/>
    <n v="6"/>
    <n v="5043.82"/>
    <x v="0"/>
    <x v="0"/>
    <x v="1"/>
  </r>
  <r>
    <s v="ORD0286"/>
    <s v="2024-06-10"/>
    <x v="7"/>
    <x v="3"/>
    <x v="2"/>
    <n v="39835.370000000003"/>
    <n v="8"/>
    <n v="6996.97"/>
    <x v="2"/>
    <x v="0"/>
    <x v="0"/>
  </r>
  <r>
    <s v="ORD0287"/>
    <s v="2024-03-25"/>
    <x v="0"/>
    <x v="0"/>
    <x v="2"/>
    <n v="20490.88"/>
    <n v="4"/>
    <n v="2541.7600000000002"/>
    <x v="2"/>
    <x v="0"/>
    <x v="4"/>
  </r>
  <r>
    <s v="ORD0288"/>
    <s v="2024-07-10"/>
    <x v="14"/>
    <x v="2"/>
    <x v="1"/>
    <n v="33850.86"/>
    <n v="2"/>
    <n v="7198.44"/>
    <x v="1"/>
    <x v="0"/>
    <x v="1"/>
  </r>
  <r>
    <s v="ORD0289"/>
    <s v="2024-09-06"/>
    <x v="15"/>
    <x v="3"/>
    <x v="2"/>
    <n v="30103.91"/>
    <n v="10"/>
    <n v="1903.62"/>
    <x v="2"/>
    <x v="0"/>
    <x v="10"/>
  </r>
  <r>
    <s v="ORD0290"/>
    <s v="2024-12-24"/>
    <x v="1"/>
    <x v="1"/>
    <x v="1"/>
    <n v="12647.18"/>
    <n v="6"/>
    <n v="1480.2"/>
    <x v="0"/>
    <x v="0"/>
    <x v="6"/>
  </r>
  <r>
    <s v="ORD0291"/>
    <s v="2024-12-28"/>
    <x v="7"/>
    <x v="3"/>
    <x v="2"/>
    <n v="8756.17"/>
    <n v="1"/>
    <n v="1163.4000000000001"/>
    <x v="2"/>
    <x v="0"/>
    <x v="6"/>
  </r>
  <r>
    <s v="ORD0292"/>
    <s v="2024-05-30"/>
    <x v="9"/>
    <x v="1"/>
    <x v="3"/>
    <n v="32623.96"/>
    <n v="8"/>
    <n v="6930.64"/>
    <x v="1"/>
    <x v="0"/>
    <x v="7"/>
  </r>
  <r>
    <s v="ORD0293"/>
    <s v="2024-09-04"/>
    <x v="7"/>
    <x v="3"/>
    <x v="3"/>
    <n v="36234.44"/>
    <n v="5"/>
    <n v="7291.83"/>
    <x v="2"/>
    <x v="0"/>
    <x v="10"/>
  </r>
  <r>
    <s v="ORD0294"/>
    <s v="2024-09-16"/>
    <x v="1"/>
    <x v="1"/>
    <x v="1"/>
    <n v="2735.08"/>
    <n v="3"/>
    <n v="404.45"/>
    <x v="0"/>
    <x v="0"/>
    <x v="10"/>
  </r>
  <r>
    <s v="ORD0295"/>
    <s v="2024-07-03"/>
    <x v="8"/>
    <x v="0"/>
    <x v="0"/>
    <n v="48365.97"/>
    <n v="4"/>
    <n v="10119.549999999999"/>
    <x v="0"/>
    <x v="0"/>
    <x v="1"/>
  </r>
  <r>
    <s v="ORD0296"/>
    <s v="2024-02-04"/>
    <x v="1"/>
    <x v="1"/>
    <x v="0"/>
    <n v="42254.879999999997"/>
    <n v="4"/>
    <n v="4701.0600000000004"/>
    <x v="2"/>
    <x v="0"/>
    <x v="11"/>
  </r>
  <r>
    <s v="ORD0297"/>
    <s v="2024-12-29"/>
    <x v="5"/>
    <x v="2"/>
    <x v="2"/>
    <n v="30645.11"/>
    <n v="4"/>
    <n v="4603.63"/>
    <x v="2"/>
    <x v="0"/>
    <x v="6"/>
  </r>
  <r>
    <s v="ORD0298"/>
    <s v="2024-09-08"/>
    <x v="9"/>
    <x v="1"/>
    <x v="1"/>
    <n v="2056.85"/>
    <n v="6"/>
    <n v="228.49"/>
    <x v="1"/>
    <x v="0"/>
    <x v="10"/>
  </r>
  <r>
    <s v="ORD0299"/>
    <s v="2024-05-31"/>
    <x v="7"/>
    <x v="3"/>
    <x v="3"/>
    <n v="42061.96"/>
    <n v="9"/>
    <n v="9342.01"/>
    <x v="1"/>
    <x v="0"/>
    <x v="7"/>
  </r>
  <r>
    <s v="ORD0300"/>
    <s v="2024-03-08"/>
    <x v="0"/>
    <x v="0"/>
    <x v="2"/>
    <n v="4731.78"/>
    <n v="6"/>
    <n v="1041.68"/>
    <x v="1"/>
    <x v="0"/>
    <x v="4"/>
  </r>
  <r>
    <s v="ORD0301"/>
    <s v="2024-03-12"/>
    <x v="2"/>
    <x v="1"/>
    <x v="0"/>
    <n v="20786.259999999998"/>
    <n v="5"/>
    <n v="3415.01"/>
    <x v="2"/>
    <x v="0"/>
    <x v="4"/>
  </r>
  <r>
    <s v="ORD0302"/>
    <s v="2024-08-24"/>
    <x v="5"/>
    <x v="2"/>
    <x v="2"/>
    <n v="12433.56"/>
    <n v="9"/>
    <n v="2469.06"/>
    <x v="1"/>
    <x v="0"/>
    <x v="2"/>
  </r>
  <r>
    <s v="ORD0303"/>
    <s v="2024-06-01"/>
    <x v="7"/>
    <x v="3"/>
    <x v="2"/>
    <n v="29612.77"/>
    <n v="6"/>
    <n v="1803.03"/>
    <x v="2"/>
    <x v="0"/>
    <x v="0"/>
  </r>
  <r>
    <s v="ORD0304"/>
    <s v="2024-02-25"/>
    <x v="10"/>
    <x v="2"/>
    <x v="1"/>
    <n v="5191.6099999999997"/>
    <n v="9"/>
    <n v="537.35"/>
    <x v="1"/>
    <x v="0"/>
    <x v="11"/>
  </r>
  <r>
    <s v="ORD0305"/>
    <s v="2024-05-30"/>
    <x v="1"/>
    <x v="1"/>
    <x v="1"/>
    <n v="16240.19"/>
    <n v="5"/>
    <n v="994.06"/>
    <x v="0"/>
    <x v="0"/>
    <x v="7"/>
  </r>
  <r>
    <s v="ORD0306"/>
    <s v="2024-08-15"/>
    <x v="14"/>
    <x v="2"/>
    <x v="3"/>
    <n v="4740.8599999999997"/>
    <n v="1"/>
    <n v="551.69000000000005"/>
    <x v="0"/>
    <x v="0"/>
    <x v="2"/>
  </r>
  <r>
    <s v="ORD0307"/>
    <s v="2024-10-25"/>
    <x v="5"/>
    <x v="2"/>
    <x v="3"/>
    <n v="35939.35"/>
    <n v="5"/>
    <n v="2075.1"/>
    <x v="0"/>
    <x v="0"/>
    <x v="8"/>
  </r>
  <r>
    <s v="ORD0308"/>
    <s v="2024-04-24"/>
    <x v="6"/>
    <x v="3"/>
    <x v="2"/>
    <n v="49744.59"/>
    <n v="5"/>
    <n v="11167.08"/>
    <x v="1"/>
    <x v="0"/>
    <x v="9"/>
  </r>
  <r>
    <s v="ORD0309"/>
    <s v="2024-02-21"/>
    <x v="10"/>
    <x v="2"/>
    <x v="0"/>
    <n v="9167.74"/>
    <n v="5"/>
    <n v="1567.04"/>
    <x v="1"/>
    <x v="0"/>
    <x v="11"/>
  </r>
  <r>
    <s v="ORD0310"/>
    <s v="2024-02-14"/>
    <x v="3"/>
    <x v="0"/>
    <x v="2"/>
    <n v="37528.730000000003"/>
    <n v="2"/>
    <n v="8646.2800000000007"/>
    <x v="1"/>
    <x v="0"/>
    <x v="11"/>
  </r>
  <r>
    <s v="ORD0311"/>
    <s v="2024-08-25"/>
    <x v="8"/>
    <x v="0"/>
    <x v="3"/>
    <n v="12768.01"/>
    <n v="1"/>
    <n v="3075.15"/>
    <x v="2"/>
    <x v="0"/>
    <x v="2"/>
  </r>
  <r>
    <s v="ORD0312"/>
    <s v="2024-06-10"/>
    <x v="13"/>
    <x v="3"/>
    <x v="2"/>
    <n v="3352.88"/>
    <n v="8"/>
    <n v="374.26"/>
    <x v="1"/>
    <x v="0"/>
    <x v="0"/>
  </r>
  <r>
    <s v="ORD0313"/>
    <s v="2024-01-09"/>
    <x v="7"/>
    <x v="3"/>
    <x v="2"/>
    <n v="40706.769999999997"/>
    <n v="6"/>
    <n v="2711.34"/>
    <x v="1"/>
    <x v="0"/>
    <x v="5"/>
  </r>
  <r>
    <s v="ORD0314"/>
    <s v="2024-02-25"/>
    <x v="9"/>
    <x v="1"/>
    <x v="1"/>
    <n v="11561.88"/>
    <n v="7"/>
    <n v="2310.08"/>
    <x v="0"/>
    <x v="0"/>
    <x v="11"/>
  </r>
  <r>
    <s v="ORD0315"/>
    <s v="2024-01-22"/>
    <x v="1"/>
    <x v="1"/>
    <x v="2"/>
    <n v="20139.54"/>
    <n v="8"/>
    <n v="4748.12"/>
    <x v="2"/>
    <x v="0"/>
    <x v="5"/>
  </r>
  <r>
    <s v="ORD0316"/>
    <s v="2024-05-06"/>
    <x v="6"/>
    <x v="3"/>
    <x v="1"/>
    <n v="19565.18"/>
    <n v="4"/>
    <n v="4793.0600000000004"/>
    <x v="2"/>
    <x v="0"/>
    <x v="7"/>
  </r>
  <r>
    <s v="ORD0317"/>
    <s v="2024-04-22"/>
    <x v="5"/>
    <x v="2"/>
    <x v="3"/>
    <n v="39742.51"/>
    <n v="6"/>
    <n v="8544.48"/>
    <x v="0"/>
    <x v="0"/>
    <x v="9"/>
  </r>
  <r>
    <s v="ORD0318"/>
    <s v="2024-11-25"/>
    <x v="14"/>
    <x v="2"/>
    <x v="1"/>
    <n v="40976.480000000003"/>
    <n v="2"/>
    <n v="4720.57"/>
    <x v="0"/>
    <x v="0"/>
    <x v="3"/>
  </r>
  <r>
    <s v="ORD0319"/>
    <s v="2024-12-23"/>
    <x v="11"/>
    <x v="2"/>
    <x v="0"/>
    <n v="25890.39"/>
    <n v="4"/>
    <n v="3599.89"/>
    <x v="1"/>
    <x v="0"/>
    <x v="6"/>
  </r>
  <r>
    <s v="ORD0320"/>
    <s v="2024-12-24"/>
    <x v="14"/>
    <x v="2"/>
    <x v="0"/>
    <n v="9732.27"/>
    <n v="4"/>
    <n v="1244.17"/>
    <x v="0"/>
    <x v="0"/>
    <x v="6"/>
  </r>
  <r>
    <s v="ORD0321"/>
    <s v="2024-03-15"/>
    <x v="14"/>
    <x v="2"/>
    <x v="1"/>
    <n v="37450.129999999997"/>
    <n v="3"/>
    <n v="6468.41"/>
    <x v="1"/>
    <x v="0"/>
    <x v="4"/>
  </r>
  <r>
    <s v="ORD0322"/>
    <s v="2024-01-07"/>
    <x v="14"/>
    <x v="2"/>
    <x v="2"/>
    <n v="23977.33"/>
    <n v="4"/>
    <n v="2107.2600000000002"/>
    <x v="0"/>
    <x v="0"/>
    <x v="5"/>
  </r>
  <r>
    <s v="ORD0323"/>
    <s v="2024-11-18"/>
    <x v="10"/>
    <x v="2"/>
    <x v="2"/>
    <n v="2147.4499999999998"/>
    <n v="4"/>
    <n v="127.91"/>
    <x v="0"/>
    <x v="0"/>
    <x v="3"/>
  </r>
  <r>
    <s v="ORD0324"/>
    <s v="2024-02-09"/>
    <x v="8"/>
    <x v="0"/>
    <x v="3"/>
    <n v="31836.78"/>
    <n v="8"/>
    <n v="2856.87"/>
    <x v="0"/>
    <x v="0"/>
    <x v="11"/>
  </r>
  <r>
    <s v="ORD0325"/>
    <s v="2024-12-30"/>
    <x v="7"/>
    <x v="3"/>
    <x v="2"/>
    <n v="7481.7"/>
    <n v="7"/>
    <n v="1712.15"/>
    <x v="2"/>
    <x v="0"/>
    <x v="6"/>
  </r>
  <r>
    <s v="ORD0326"/>
    <s v="2024-09-11"/>
    <x v="8"/>
    <x v="0"/>
    <x v="0"/>
    <n v="8360.26"/>
    <n v="3"/>
    <n v="454.06"/>
    <x v="2"/>
    <x v="0"/>
    <x v="10"/>
  </r>
  <r>
    <s v="ORD0327"/>
    <s v="2024-08-04"/>
    <x v="2"/>
    <x v="1"/>
    <x v="1"/>
    <n v="38017.550000000003"/>
    <n v="10"/>
    <n v="4416.8500000000004"/>
    <x v="2"/>
    <x v="0"/>
    <x v="2"/>
  </r>
  <r>
    <s v="ORD0328"/>
    <s v="2024-07-02"/>
    <x v="13"/>
    <x v="3"/>
    <x v="1"/>
    <n v="17568.09"/>
    <n v="10"/>
    <n v="892.53"/>
    <x v="0"/>
    <x v="0"/>
    <x v="1"/>
  </r>
  <r>
    <s v="ORD0329"/>
    <s v="2024-08-18"/>
    <x v="2"/>
    <x v="1"/>
    <x v="0"/>
    <n v="18630.669999999998"/>
    <n v="7"/>
    <n v="4338.83"/>
    <x v="2"/>
    <x v="0"/>
    <x v="2"/>
  </r>
  <r>
    <s v="ORD0330"/>
    <s v="2024-09-12"/>
    <x v="1"/>
    <x v="1"/>
    <x v="3"/>
    <n v="47602.33"/>
    <n v="6"/>
    <n v="5857.72"/>
    <x v="2"/>
    <x v="0"/>
    <x v="10"/>
  </r>
  <r>
    <s v="ORD0331"/>
    <s v="2024-02-17"/>
    <x v="7"/>
    <x v="3"/>
    <x v="0"/>
    <n v="4041.13"/>
    <n v="3"/>
    <n v="313.62"/>
    <x v="0"/>
    <x v="0"/>
    <x v="11"/>
  </r>
  <r>
    <s v="ORD0332"/>
    <s v="2024-11-16"/>
    <x v="15"/>
    <x v="3"/>
    <x v="2"/>
    <n v="6440.5"/>
    <n v="6"/>
    <n v="875.32"/>
    <x v="1"/>
    <x v="0"/>
    <x v="3"/>
  </r>
  <r>
    <s v="ORD0333"/>
    <s v="2024-01-25"/>
    <x v="1"/>
    <x v="1"/>
    <x v="2"/>
    <n v="34540.03"/>
    <n v="2"/>
    <n v="2882.97"/>
    <x v="1"/>
    <x v="0"/>
    <x v="5"/>
  </r>
  <r>
    <s v="ORD0334"/>
    <s v="2024-12-28"/>
    <x v="11"/>
    <x v="2"/>
    <x v="3"/>
    <n v="11359.79"/>
    <n v="8"/>
    <n v="985.7"/>
    <x v="2"/>
    <x v="0"/>
    <x v="6"/>
  </r>
  <r>
    <s v="ORD0335"/>
    <s v="2024-06-22"/>
    <x v="12"/>
    <x v="1"/>
    <x v="2"/>
    <n v="29801.48"/>
    <n v="4"/>
    <n v="5626.38"/>
    <x v="0"/>
    <x v="0"/>
    <x v="0"/>
  </r>
  <r>
    <s v="ORD0336"/>
    <s v="2024-04-19"/>
    <x v="7"/>
    <x v="3"/>
    <x v="1"/>
    <n v="48282.61"/>
    <n v="3"/>
    <n v="7671.26"/>
    <x v="0"/>
    <x v="0"/>
    <x v="9"/>
  </r>
  <r>
    <s v="ORD0337"/>
    <s v="2024-02-15"/>
    <x v="7"/>
    <x v="3"/>
    <x v="2"/>
    <n v="37311.69"/>
    <n v="5"/>
    <n v="7152.92"/>
    <x v="0"/>
    <x v="0"/>
    <x v="11"/>
  </r>
  <r>
    <s v="ORD0338"/>
    <s v="2024-12-21"/>
    <x v="7"/>
    <x v="3"/>
    <x v="0"/>
    <n v="29644.06"/>
    <n v="2"/>
    <n v="2579.29"/>
    <x v="1"/>
    <x v="0"/>
    <x v="6"/>
  </r>
  <r>
    <s v="ORD0339"/>
    <s v="2024-06-06"/>
    <x v="4"/>
    <x v="0"/>
    <x v="0"/>
    <n v="42102.68"/>
    <n v="7"/>
    <n v="9314.9"/>
    <x v="2"/>
    <x v="0"/>
    <x v="0"/>
  </r>
  <r>
    <s v="ORD0340"/>
    <s v="2024-03-02"/>
    <x v="9"/>
    <x v="1"/>
    <x v="2"/>
    <n v="46215.48"/>
    <n v="7"/>
    <n v="2342.6999999999998"/>
    <x v="2"/>
    <x v="0"/>
    <x v="4"/>
  </r>
  <r>
    <s v="ORD0341"/>
    <s v="2024-10-13"/>
    <x v="9"/>
    <x v="1"/>
    <x v="0"/>
    <n v="27761.14"/>
    <n v="10"/>
    <n v="4623.55"/>
    <x v="2"/>
    <x v="0"/>
    <x v="8"/>
  </r>
  <r>
    <s v="ORD0342"/>
    <s v="2024-05-26"/>
    <x v="2"/>
    <x v="1"/>
    <x v="1"/>
    <n v="8906.39"/>
    <n v="8"/>
    <n v="1146.17"/>
    <x v="1"/>
    <x v="0"/>
    <x v="7"/>
  </r>
  <r>
    <s v="ORD0343"/>
    <s v="2024-12-22"/>
    <x v="5"/>
    <x v="2"/>
    <x v="2"/>
    <n v="3184.54"/>
    <n v="10"/>
    <n v="608.97"/>
    <x v="2"/>
    <x v="0"/>
    <x v="6"/>
  </r>
  <r>
    <s v="ORD0344"/>
    <s v="2024-08-26"/>
    <x v="6"/>
    <x v="3"/>
    <x v="2"/>
    <n v="13981.77"/>
    <n v="5"/>
    <n v="1404.2"/>
    <x v="1"/>
    <x v="0"/>
    <x v="2"/>
  </r>
  <r>
    <s v="ORD0345"/>
    <s v="2024-01-28"/>
    <x v="5"/>
    <x v="2"/>
    <x v="0"/>
    <n v="25070.85"/>
    <n v="5"/>
    <n v="1890.29"/>
    <x v="1"/>
    <x v="0"/>
    <x v="5"/>
  </r>
  <r>
    <s v="ORD0346"/>
    <s v="2024-02-16"/>
    <x v="11"/>
    <x v="2"/>
    <x v="2"/>
    <n v="26606.58"/>
    <n v="9"/>
    <n v="3029.79"/>
    <x v="1"/>
    <x v="0"/>
    <x v="11"/>
  </r>
  <r>
    <s v="ORD0347"/>
    <s v="2024-09-14"/>
    <x v="8"/>
    <x v="0"/>
    <x v="3"/>
    <n v="45687.43"/>
    <n v="4"/>
    <n v="7670.78"/>
    <x v="1"/>
    <x v="0"/>
    <x v="10"/>
  </r>
  <r>
    <s v="ORD0348"/>
    <s v="2024-02-16"/>
    <x v="2"/>
    <x v="1"/>
    <x v="1"/>
    <n v="29395.77"/>
    <n v="9"/>
    <n v="1994.47"/>
    <x v="1"/>
    <x v="0"/>
    <x v="11"/>
  </r>
  <r>
    <s v="ORD0349"/>
    <s v="2024-02-03"/>
    <x v="13"/>
    <x v="3"/>
    <x v="2"/>
    <n v="46786.68"/>
    <n v="8"/>
    <n v="7947.09"/>
    <x v="1"/>
    <x v="0"/>
    <x v="11"/>
  </r>
  <r>
    <s v="ORD0350"/>
    <s v="2024-12-17"/>
    <x v="7"/>
    <x v="3"/>
    <x v="0"/>
    <n v="32770.83"/>
    <n v="8"/>
    <n v="6440.76"/>
    <x v="2"/>
    <x v="0"/>
    <x v="6"/>
  </r>
  <r>
    <s v="ORD0351"/>
    <s v="2024-09-27"/>
    <x v="6"/>
    <x v="3"/>
    <x v="1"/>
    <n v="18965.57"/>
    <n v="3"/>
    <n v="1730.17"/>
    <x v="2"/>
    <x v="0"/>
    <x v="10"/>
  </r>
  <r>
    <s v="ORD0352"/>
    <s v="2024-07-31"/>
    <x v="0"/>
    <x v="0"/>
    <x v="1"/>
    <n v="13089.36"/>
    <n v="1"/>
    <n v="819.68"/>
    <x v="1"/>
    <x v="0"/>
    <x v="1"/>
  </r>
  <r>
    <s v="ORD0353"/>
    <s v="2024-10-09"/>
    <x v="14"/>
    <x v="2"/>
    <x v="3"/>
    <n v="31202.02"/>
    <n v="6"/>
    <n v="2583.79"/>
    <x v="1"/>
    <x v="0"/>
    <x v="8"/>
  </r>
  <r>
    <s v="ORD0354"/>
    <s v="2024-06-29"/>
    <x v="5"/>
    <x v="2"/>
    <x v="1"/>
    <n v="49921.22"/>
    <n v="5"/>
    <n v="9899.59"/>
    <x v="0"/>
    <x v="0"/>
    <x v="0"/>
  </r>
  <r>
    <s v="ORD0355"/>
    <s v="2024-02-29"/>
    <x v="12"/>
    <x v="1"/>
    <x v="1"/>
    <n v="8028.58"/>
    <n v="3"/>
    <n v="1834.7"/>
    <x v="2"/>
    <x v="0"/>
    <x v="11"/>
  </r>
  <r>
    <s v="ORD0356"/>
    <s v="2024-08-07"/>
    <x v="1"/>
    <x v="1"/>
    <x v="2"/>
    <n v="15543.39"/>
    <n v="2"/>
    <n v="1444.37"/>
    <x v="0"/>
    <x v="0"/>
    <x v="2"/>
  </r>
  <r>
    <s v="ORD0357"/>
    <s v="2024-10-04"/>
    <x v="12"/>
    <x v="1"/>
    <x v="0"/>
    <n v="15944.91"/>
    <n v="10"/>
    <n v="2060.19"/>
    <x v="0"/>
    <x v="0"/>
    <x v="8"/>
  </r>
  <r>
    <s v="ORD0358"/>
    <s v="2024-06-25"/>
    <x v="15"/>
    <x v="3"/>
    <x v="2"/>
    <n v="44380.86"/>
    <n v="9"/>
    <n v="3396.89"/>
    <x v="0"/>
    <x v="0"/>
    <x v="0"/>
  </r>
  <r>
    <s v="ORD0359"/>
    <s v="2024-03-14"/>
    <x v="4"/>
    <x v="0"/>
    <x v="2"/>
    <n v="16326.15"/>
    <n v="4"/>
    <n v="1076.21"/>
    <x v="2"/>
    <x v="0"/>
    <x v="4"/>
  </r>
  <r>
    <s v="ORD0360"/>
    <s v="2024-03-18"/>
    <x v="10"/>
    <x v="2"/>
    <x v="0"/>
    <n v="26429.64"/>
    <n v="9"/>
    <n v="5590.47"/>
    <x v="1"/>
    <x v="0"/>
    <x v="4"/>
  </r>
  <r>
    <s v="ORD0361"/>
    <s v="2024-04-01"/>
    <x v="11"/>
    <x v="2"/>
    <x v="2"/>
    <n v="2052.65"/>
    <n v="6"/>
    <n v="399.7"/>
    <x v="2"/>
    <x v="0"/>
    <x v="9"/>
  </r>
  <r>
    <s v="ORD0362"/>
    <s v="2024-05-06"/>
    <x v="14"/>
    <x v="2"/>
    <x v="1"/>
    <n v="15687.95"/>
    <n v="7"/>
    <n v="1806.41"/>
    <x v="0"/>
    <x v="0"/>
    <x v="7"/>
  </r>
  <r>
    <s v="ORD0363"/>
    <s v="2024-11-23"/>
    <x v="8"/>
    <x v="0"/>
    <x v="3"/>
    <n v="777.56"/>
    <n v="9"/>
    <n v="126.56"/>
    <x v="2"/>
    <x v="0"/>
    <x v="3"/>
  </r>
  <r>
    <s v="ORD0364"/>
    <s v="2024-08-19"/>
    <x v="0"/>
    <x v="0"/>
    <x v="3"/>
    <n v="23521.14"/>
    <n v="2"/>
    <n v="5206.55"/>
    <x v="0"/>
    <x v="0"/>
    <x v="2"/>
  </r>
  <r>
    <s v="ORD0365"/>
    <s v="2024-09-22"/>
    <x v="15"/>
    <x v="3"/>
    <x v="3"/>
    <n v="14364.33"/>
    <n v="8"/>
    <n v="2986.74"/>
    <x v="2"/>
    <x v="0"/>
    <x v="10"/>
  </r>
  <r>
    <s v="ORD0366"/>
    <s v="2024-03-25"/>
    <x v="7"/>
    <x v="3"/>
    <x v="0"/>
    <n v="25587.040000000001"/>
    <n v="9"/>
    <n v="4694.16"/>
    <x v="2"/>
    <x v="0"/>
    <x v="4"/>
  </r>
  <r>
    <s v="ORD0367"/>
    <s v="2024-08-01"/>
    <x v="5"/>
    <x v="2"/>
    <x v="0"/>
    <n v="31083.3"/>
    <n v="2"/>
    <n v="5926.23"/>
    <x v="1"/>
    <x v="0"/>
    <x v="2"/>
  </r>
  <r>
    <s v="ORD0368"/>
    <s v="2024-02-22"/>
    <x v="14"/>
    <x v="2"/>
    <x v="0"/>
    <n v="3830.47"/>
    <n v="9"/>
    <n v="244.28"/>
    <x v="2"/>
    <x v="0"/>
    <x v="11"/>
  </r>
  <r>
    <s v="ORD0369"/>
    <s v="2024-07-31"/>
    <x v="1"/>
    <x v="1"/>
    <x v="2"/>
    <n v="33040.21"/>
    <n v="10"/>
    <n v="2923.47"/>
    <x v="0"/>
    <x v="0"/>
    <x v="1"/>
  </r>
  <r>
    <s v="ORD0370"/>
    <s v="2024-05-29"/>
    <x v="10"/>
    <x v="2"/>
    <x v="1"/>
    <n v="19350.66"/>
    <n v="9"/>
    <n v="3289.21"/>
    <x v="2"/>
    <x v="0"/>
    <x v="7"/>
  </r>
  <r>
    <s v="ORD0371"/>
    <s v="2024-05-03"/>
    <x v="11"/>
    <x v="2"/>
    <x v="2"/>
    <n v="35334.99"/>
    <n v="7"/>
    <n v="5139.24"/>
    <x v="1"/>
    <x v="0"/>
    <x v="7"/>
  </r>
  <r>
    <s v="ORD0372"/>
    <s v="2024-03-02"/>
    <x v="1"/>
    <x v="1"/>
    <x v="1"/>
    <n v="47317.73"/>
    <n v="6"/>
    <n v="4137.5"/>
    <x v="0"/>
    <x v="0"/>
    <x v="4"/>
  </r>
  <r>
    <s v="ORD0373"/>
    <s v="2024-02-29"/>
    <x v="15"/>
    <x v="3"/>
    <x v="0"/>
    <n v="39699.1"/>
    <n v="9"/>
    <n v="6103.04"/>
    <x v="1"/>
    <x v="0"/>
    <x v="11"/>
  </r>
  <r>
    <s v="ORD0374"/>
    <s v="2024-05-09"/>
    <x v="9"/>
    <x v="1"/>
    <x v="2"/>
    <n v="24139.37"/>
    <n v="3"/>
    <n v="1917.07"/>
    <x v="2"/>
    <x v="0"/>
    <x v="7"/>
  </r>
  <r>
    <s v="ORD0375"/>
    <s v="2024-03-17"/>
    <x v="8"/>
    <x v="0"/>
    <x v="0"/>
    <n v="16924.97"/>
    <n v="10"/>
    <n v="878.08"/>
    <x v="2"/>
    <x v="0"/>
    <x v="4"/>
  </r>
  <r>
    <s v="ORD0376"/>
    <s v="2024-03-25"/>
    <x v="6"/>
    <x v="3"/>
    <x v="1"/>
    <n v="21426.54"/>
    <n v="1"/>
    <n v="3958.3"/>
    <x v="2"/>
    <x v="0"/>
    <x v="4"/>
  </r>
  <r>
    <s v="ORD0377"/>
    <s v="2024-04-03"/>
    <x v="12"/>
    <x v="1"/>
    <x v="2"/>
    <n v="15851.24"/>
    <n v="6"/>
    <n v="2629.86"/>
    <x v="2"/>
    <x v="0"/>
    <x v="9"/>
  </r>
  <r>
    <s v="ORD0378"/>
    <s v="2024-11-28"/>
    <x v="3"/>
    <x v="0"/>
    <x v="1"/>
    <n v="43383.37"/>
    <n v="9"/>
    <n v="2214.0700000000002"/>
    <x v="0"/>
    <x v="0"/>
    <x v="3"/>
  </r>
  <r>
    <s v="ORD0379"/>
    <s v="2024-05-23"/>
    <x v="3"/>
    <x v="0"/>
    <x v="3"/>
    <n v="17020.71"/>
    <n v="4"/>
    <n v="1447.85"/>
    <x v="0"/>
    <x v="0"/>
    <x v="7"/>
  </r>
  <r>
    <s v="ORD0380"/>
    <s v="2024-07-27"/>
    <x v="3"/>
    <x v="0"/>
    <x v="1"/>
    <n v="31355.99"/>
    <n v="6"/>
    <n v="2803.93"/>
    <x v="2"/>
    <x v="0"/>
    <x v="1"/>
  </r>
  <r>
    <s v="ORD0381"/>
    <s v="2024-09-01"/>
    <x v="9"/>
    <x v="1"/>
    <x v="0"/>
    <n v="5839.43"/>
    <n v="4"/>
    <n v="699.26"/>
    <x v="2"/>
    <x v="0"/>
    <x v="10"/>
  </r>
  <r>
    <s v="ORD0382"/>
    <s v="2024-11-25"/>
    <x v="2"/>
    <x v="1"/>
    <x v="0"/>
    <n v="28140.79"/>
    <n v="8"/>
    <n v="6598.06"/>
    <x v="0"/>
    <x v="0"/>
    <x v="3"/>
  </r>
  <r>
    <s v="ORD0383"/>
    <s v="2024-11-01"/>
    <x v="0"/>
    <x v="0"/>
    <x v="0"/>
    <n v="26732.080000000002"/>
    <n v="8"/>
    <n v="2456.2600000000002"/>
    <x v="2"/>
    <x v="0"/>
    <x v="3"/>
  </r>
  <r>
    <s v="ORD0384"/>
    <s v="2024-08-21"/>
    <x v="7"/>
    <x v="3"/>
    <x v="2"/>
    <n v="7233.49"/>
    <n v="3"/>
    <n v="1355.07"/>
    <x v="0"/>
    <x v="0"/>
    <x v="2"/>
  </r>
  <r>
    <s v="ORD0385"/>
    <s v="2024-05-06"/>
    <x v="9"/>
    <x v="1"/>
    <x v="2"/>
    <n v="4148.45"/>
    <n v="10"/>
    <n v="383.48"/>
    <x v="2"/>
    <x v="0"/>
    <x v="7"/>
  </r>
  <r>
    <s v="ORD0386"/>
    <s v="2024-07-18"/>
    <x v="0"/>
    <x v="0"/>
    <x v="0"/>
    <n v="1832.74"/>
    <n v="8"/>
    <n v="96.66"/>
    <x v="2"/>
    <x v="0"/>
    <x v="1"/>
  </r>
  <r>
    <s v="ORD0387"/>
    <s v="2024-09-22"/>
    <x v="13"/>
    <x v="3"/>
    <x v="0"/>
    <n v="23186.46"/>
    <n v="4"/>
    <n v="3089.58"/>
    <x v="1"/>
    <x v="0"/>
    <x v="10"/>
  </r>
  <r>
    <s v="ORD0388"/>
    <s v="2024-03-22"/>
    <x v="2"/>
    <x v="1"/>
    <x v="0"/>
    <n v="1590.07"/>
    <n v="1"/>
    <n v="363.74"/>
    <x v="0"/>
    <x v="0"/>
    <x v="4"/>
  </r>
  <r>
    <s v="ORD0389"/>
    <s v="2024-07-23"/>
    <x v="6"/>
    <x v="3"/>
    <x v="3"/>
    <n v="39326.839999999997"/>
    <n v="2"/>
    <n v="5692.56"/>
    <x v="1"/>
    <x v="0"/>
    <x v="1"/>
  </r>
  <r>
    <s v="ORD0390"/>
    <s v="2024-02-14"/>
    <x v="15"/>
    <x v="3"/>
    <x v="0"/>
    <n v="4950.09"/>
    <n v="1"/>
    <n v="335.72"/>
    <x v="2"/>
    <x v="0"/>
    <x v="11"/>
  </r>
  <r>
    <s v="ORD0391"/>
    <s v="2024-01-13"/>
    <x v="14"/>
    <x v="2"/>
    <x v="1"/>
    <n v="23765.21"/>
    <n v="1"/>
    <n v="4633.1899999999996"/>
    <x v="0"/>
    <x v="0"/>
    <x v="5"/>
  </r>
  <r>
    <s v="ORD0392"/>
    <s v="2024-10-01"/>
    <x v="0"/>
    <x v="0"/>
    <x v="2"/>
    <n v="20262.080000000002"/>
    <n v="7"/>
    <n v="4510.71"/>
    <x v="2"/>
    <x v="0"/>
    <x v="8"/>
  </r>
  <r>
    <s v="ORD0393"/>
    <s v="2024-07-06"/>
    <x v="15"/>
    <x v="3"/>
    <x v="2"/>
    <n v="40400.339999999997"/>
    <n v="1"/>
    <n v="7007.72"/>
    <x v="1"/>
    <x v="0"/>
    <x v="1"/>
  </r>
  <r>
    <s v="ORD0394"/>
    <s v="2024-11-26"/>
    <x v="7"/>
    <x v="3"/>
    <x v="3"/>
    <n v="45955.97"/>
    <n v="7"/>
    <n v="8695.5400000000009"/>
    <x v="1"/>
    <x v="0"/>
    <x v="3"/>
  </r>
  <r>
    <s v="ORD0395"/>
    <s v="2024-03-31"/>
    <x v="12"/>
    <x v="1"/>
    <x v="0"/>
    <n v="38520.07"/>
    <n v="4"/>
    <n v="3292.4"/>
    <x v="2"/>
    <x v="0"/>
    <x v="4"/>
  </r>
  <r>
    <s v="ORD0396"/>
    <s v="2024-04-08"/>
    <x v="1"/>
    <x v="1"/>
    <x v="1"/>
    <n v="48375.58"/>
    <n v="10"/>
    <n v="11218.35"/>
    <x v="1"/>
    <x v="0"/>
    <x v="9"/>
  </r>
  <r>
    <s v="ORD0397"/>
    <s v="2024-12-06"/>
    <x v="7"/>
    <x v="3"/>
    <x v="2"/>
    <n v="49920.21"/>
    <n v="2"/>
    <n v="8017.85"/>
    <x v="1"/>
    <x v="0"/>
    <x v="6"/>
  </r>
  <r>
    <s v="ORD0398"/>
    <s v="2024-11-04"/>
    <x v="5"/>
    <x v="2"/>
    <x v="0"/>
    <n v="28666.99"/>
    <n v="7"/>
    <n v="5809.88"/>
    <x v="2"/>
    <x v="0"/>
    <x v="3"/>
  </r>
  <r>
    <s v="ORD0399"/>
    <s v="2024-11-16"/>
    <x v="2"/>
    <x v="1"/>
    <x v="2"/>
    <n v="11490.58"/>
    <n v="5"/>
    <n v="783.59"/>
    <x v="0"/>
    <x v="0"/>
    <x v="3"/>
  </r>
  <r>
    <s v="ORD0400"/>
    <s v="2024-12-28"/>
    <x v="14"/>
    <x v="2"/>
    <x v="2"/>
    <n v="35810.03"/>
    <n v="4"/>
    <n v="7151.75"/>
    <x v="1"/>
    <x v="0"/>
    <x v="6"/>
  </r>
  <r>
    <s v="ORD0401"/>
    <s v="2024-06-13"/>
    <x v="14"/>
    <x v="2"/>
    <x v="0"/>
    <n v="41303.74"/>
    <n v="4"/>
    <n v="6222.88"/>
    <x v="1"/>
    <x v="0"/>
    <x v="0"/>
  </r>
  <r>
    <s v="ORD0402"/>
    <s v="2024-12-24"/>
    <x v="6"/>
    <x v="3"/>
    <x v="2"/>
    <n v="44162.41"/>
    <n v="8"/>
    <n v="8492.02"/>
    <x v="0"/>
    <x v="0"/>
    <x v="6"/>
  </r>
  <r>
    <s v="ORD0403"/>
    <s v="2024-08-23"/>
    <x v="4"/>
    <x v="0"/>
    <x v="3"/>
    <n v="9639.0400000000009"/>
    <n v="3"/>
    <n v="2387.31"/>
    <x v="0"/>
    <x v="0"/>
    <x v="2"/>
  </r>
  <r>
    <s v="ORD0404"/>
    <s v="2024-03-13"/>
    <x v="13"/>
    <x v="3"/>
    <x v="1"/>
    <n v="37910.89"/>
    <n v="6"/>
    <n v="4786.91"/>
    <x v="0"/>
    <x v="0"/>
    <x v="4"/>
  </r>
  <r>
    <s v="ORD0405"/>
    <s v="2024-11-02"/>
    <x v="9"/>
    <x v="1"/>
    <x v="1"/>
    <n v="14255.05"/>
    <n v="10"/>
    <n v="2480.98"/>
    <x v="2"/>
    <x v="0"/>
    <x v="3"/>
  </r>
  <r>
    <s v="ORD0406"/>
    <s v="2024-05-07"/>
    <x v="11"/>
    <x v="2"/>
    <x v="2"/>
    <n v="28289.98"/>
    <n v="2"/>
    <n v="3474.88"/>
    <x v="2"/>
    <x v="0"/>
    <x v="7"/>
  </r>
  <r>
    <s v="ORD0407"/>
    <s v="2024-02-07"/>
    <x v="5"/>
    <x v="2"/>
    <x v="1"/>
    <n v="23621.95"/>
    <n v="6"/>
    <n v="2199.58"/>
    <x v="0"/>
    <x v="0"/>
    <x v="11"/>
  </r>
  <r>
    <s v="ORD0408"/>
    <s v="2024-05-21"/>
    <x v="9"/>
    <x v="1"/>
    <x v="2"/>
    <n v="14235.22"/>
    <n v="9"/>
    <n v="2987.24"/>
    <x v="0"/>
    <x v="0"/>
    <x v="7"/>
  </r>
  <r>
    <s v="ORD0409"/>
    <s v="2024-08-19"/>
    <x v="6"/>
    <x v="3"/>
    <x v="2"/>
    <n v="6511.25"/>
    <n v="8"/>
    <n v="1064.3699999999999"/>
    <x v="2"/>
    <x v="0"/>
    <x v="2"/>
  </r>
  <r>
    <s v="ORD0410"/>
    <s v="2024-06-03"/>
    <x v="12"/>
    <x v="1"/>
    <x v="1"/>
    <n v="2635.37"/>
    <n v="1"/>
    <n v="596.45000000000005"/>
    <x v="2"/>
    <x v="0"/>
    <x v="0"/>
  </r>
  <r>
    <s v="ORD0411"/>
    <s v="2024-10-08"/>
    <x v="10"/>
    <x v="2"/>
    <x v="3"/>
    <n v="1517.83"/>
    <n v="3"/>
    <n v="310.77"/>
    <x v="2"/>
    <x v="0"/>
    <x v="8"/>
  </r>
  <r>
    <s v="ORD0412"/>
    <s v="2024-01-05"/>
    <x v="2"/>
    <x v="1"/>
    <x v="2"/>
    <n v="12561.36"/>
    <n v="6"/>
    <n v="2103.59"/>
    <x v="2"/>
    <x v="0"/>
    <x v="5"/>
  </r>
  <r>
    <s v="ORD0413"/>
    <s v="2024-06-22"/>
    <x v="2"/>
    <x v="1"/>
    <x v="3"/>
    <n v="34637.480000000003"/>
    <n v="9"/>
    <n v="5539.26"/>
    <x v="0"/>
    <x v="0"/>
    <x v="0"/>
  </r>
  <r>
    <s v="ORD0414"/>
    <s v="2024-11-03"/>
    <x v="6"/>
    <x v="3"/>
    <x v="3"/>
    <n v="26090.81"/>
    <n v="3"/>
    <n v="4995.2"/>
    <x v="2"/>
    <x v="0"/>
    <x v="3"/>
  </r>
  <r>
    <s v="ORD0415"/>
    <s v="2024-02-24"/>
    <x v="4"/>
    <x v="0"/>
    <x v="0"/>
    <n v="27426.86"/>
    <n v="5"/>
    <n v="4824.8500000000004"/>
    <x v="0"/>
    <x v="0"/>
    <x v="11"/>
  </r>
  <r>
    <s v="ORD0416"/>
    <s v="2024-12-12"/>
    <x v="7"/>
    <x v="3"/>
    <x v="0"/>
    <n v="44280.33"/>
    <n v="7"/>
    <n v="7162.94"/>
    <x v="2"/>
    <x v="0"/>
    <x v="6"/>
  </r>
  <r>
    <s v="ORD0417"/>
    <s v="2024-08-02"/>
    <x v="11"/>
    <x v="2"/>
    <x v="1"/>
    <n v="24014.49"/>
    <n v="6"/>
    <n v="2903.09"/>
    <x v="0"/>
    <x v="0"/>
    <x v="2"/>
  </r>
  <r>
    <s v="ORD0418"/>
    <s v="2024-09-25"/>
    <x v="9"/>
    <x v="1"/>
    <x v="2"/>
    <n v="15546.12"/>
    <n v="8"/>
    <n v="1458.53"/>
    <x v="2"/>
    <x v="0"/>
    <x v="10"/>
  </r>
  <r>
    <s v="ORD0419"/>
    <s v="2024-09-18"/>
    <x v="6"/>
    <x v="3"/>
    <x v="0"/>
    <n v="44077.21"/>
    <n v="4"/>
    <n v="3981.6"/>
    <x v="2"/>
    <x v="0"/>
    <x v="10"/>
  </r>
  <r>
    <s v="ORD0420"/>
    <s v="2024-12-07"/>
    <x v="12"/>
    <x v="1"/>
    <x v="1"/>
    <n v="3962.14"/>
    <n v="2"/>
    <n v="321.91000000000003"/>
    <x v="1"/>
    <x v="0"/>
    <x v="6"/>
  </r>
  <r>
    <s v="ORD0421"/>
    <s v="2024-01-06"/>
    <x v="11"/>
    <x v="2"/>
    <x v="3"/>
    <n v="43062.2"/>
    <n v="2"/>
    <n v="3586.65"/>
    <x v="1"/>
    <x v="0"/>
    <x v="5"/>
  </r>
  <r>
    <s v="ORD0422"/>
    <s v="2024-11-29"/>
    <x v="5"/>
    <x v="2"/>
    <x v="1"/>
    <n v="5891.65"/>
    <n v="2"/>
    <n v="638.04"/>
    <x v="0"/>
    <x v="0"/>
    <x v="3"/>
  </r>
  <r>
    <s v="ORD0423"/>
    <s v="2024-07-18"/>
    <x v="10"/>
    <x v="2"/>
    <x v="3"/>
    <n v="26894.05"/>
    <n v="2"/>
    <n v="2119.65"/>
    <x v="1"/>
    <x v="0"/>
    <x v="1"/>
  </r>
  <r>
    <s v="ORD0424"/>
    <s v="2024-05-29"/>
    <x v="0"/>
    <x v="0"/>
    <x v="3"/>
    <n v="14368.58"/>
    <n v="3"/>
    <n v="1358.44"/>
    <x v="1"/>
    <x v="0"/>
    <x v="7"/>
  </r>
  <r>
    <s v="ORD0425"/>
    <s v="2024-10-16"/>
    <x v="11"/>
    <x v="2"/>
    <x v="2"/>
    <n v="34239.25"/>
    <n v="6"/>
    <n v="5848.98"/>
    <x v="1"/>
    <x v="0"/>
    <x v="8"/>
  </r>
  <r>
    <s v="ORD0426"/>
    <s v="2024-03-06"/>
    <x v="11"/>
    <x v="2"/>
    <x v="1"/>
    <n v="24094.9"/>
    <n v="1"/>
    <n v="2671.64"/>
    <x v="1"/>
    <x v="0"/>
    <x v="4"/>
  </r>
  <r>
    <s v="ORD0427"/>
    <s v="2024-04-27"/>
    <x v="0"/>
    <x v="0"/>
    <x v="0"/>
    <n v="11920.57"/>
    <n v="10"/>
    <n v="2240.2199999999998"/>
    <x v="2"/>
    <x v="0"/>
    <x v="9"/>
  </r>
  <r>
    <s v="ORD0428"/>
    <s v="2024-05-18"/>
    <x v="1"/>
    <x v="1"/>
    <x v="2"/>
    <n v="23588.080000000002"/>
    <n v="6"/>
    <n v="5730.96"/>
    <x v="1"/>
    <x v="0"/>
    <x v="7"/>
  </r>
  <r>
    <s v="ORD0429"/>
    <s v="2024-02-25"/>
    <x v="0"/>
    <x v="0"/>
    <x v="1"/>
    <n v="14723.2"/>
    <n v="1"/>
    <n v="2447.5100000000002"/>
    <x v="2"/>
    <x v="0"/>
    <x v="11"/>
  </r>
  <r>
    <s v="ORD0430"/>
    <s v="2024-10-01"/>
    <x v="4"/>
    <x v="0"/>
    <x v="0"/>
    <n v="35265.879999999997"/>
    <n v="4"/>
    <n v="3525.34"/>
    <x v="1"/>
    <x v="0"/>
    <x v="8"/>
  </r>
  <r>
    <s v="ORD0431"/>
    <s v="2024-05-13"/>
    <x v="11"/>
    <x v="2"/>
    <x v="3"/>
    <n v="23410.82"/>
    <n v="2"/>
    <n v="5318.72"/>
    <x v="0"/>
    <x v="0"/>
    <x v="7"/>
  </r>
  <r>
    <s v="ORD0432"/>
    <s v="2024-11-13"/>
    <x v="14"/>
    <x v="2"/>
    <x v="3"/>
    <n v="7398.78"/>
    <n v="6"/>
    <n v="1209.69"/>
    <x v="0"/>
    <x v="0"/>
    <x v="3"/>
  </r>
  <r>
    <s v="ORD0433"/>
    <s v="2024-12-12"/>
    <x v="5"/>
    <x v="2"/>
    <x v="0"/>
    <n v="40858.800000000003"/>
    <n v="2"/>
    <n v="2467.4"/>
    <x v="2"/>
    <x v="0"/>
    <x v="6"/>
  </r>
  <r>
    <s v="ORD0434"/>
    <s v="2024-02-15"/>
    <x v="4"/>
    <x v="0"/>
    <x v="2"/>
    <n v="34055.68"/>
    <n v="8"/>
    <n v="3712.35"/>
    <x v="0"/>
    <x v="0"/>
    <x v="11"/>
  </r>
  <r>
    <s v="ORD0435"/>
    <s v="2024-02-08"/>
    <x v="11"/>
    <x v="2"/>
    <x v="3"/>
    <n v="22684.83"/>
    <n v="1"/>
    <n v="1551.21"/>
    <x v="0"/>
    <x v="0"/>
    <x v="11"/>
  </r>
  <r>
    <s v="ORD0436"/>
    <s v="2024-05-19"/>
    <x v="6"/>
    <x v="3"/>
    <x v="0"/>
    <n v="17546.099999999999"/>
    <n v="1"/>
    <n v="2102.2399999999998"/>
    <x v="0"/>
    <x v="0"/>
    <x v="7"/>
  </r>
  <r>
    <s v="ORD0437"/>
    <s v="2024-09-17"/>
    <x v="0"/>
    <x v="0"/>
    <x v="2"/>
    <n v="5033.18"/>
    <n v="5"/>
    <n v="357.94"/>
    <x v="1"/>
    <x v="0"/>
    <x v="10"/>
  </r>
  <r>
    <s v="ORD0438"/>
    <s v="2024-06-16"/>
    <x v="5"/>
    <x v="2"/>
    <x v="3"/>
    <n v="38885.129999999997"/>
    <n v="9"/>
    <n v="4737.51"/>
    <x v="2"/>
    <x v="0"/>
    <x v="0"/>
  </r>
  <r>
    <s v="ORD0439"/>
    <s v="2024-01-04"/>
    <x v="0"/>
    <x v="0"/>
    <x v="3"/>
    <n v="31098.37"/>
    <n v="8"/>
    <n v="6238.81"/>
    <x v="2"/>
    <x v="0"/>
    <x v="5"/>
  </r>
  <r>
    <s v="ORD0440"/>
    <s v="2024-07-20"/>
    <x v="10"/>
    <x v="2"/>
    <x v="3"/>
    <n v="13727.49"/>
    <n v="2"/>
    <n v="1246"/>
    <x v="2"/>
    <x v="0"/>
    <x v="1"/>
  </r>
  <r>
    <s v="ORD0441"/>
    <s v="2024-12-02"/>
    <x v="8"/>
    <x v="0"/>
    <x v="0"/>
    <n v="45269.61"/>
    <n v="8"/>
    <n v="8628.27"/>
    <x v="1"/>
    <x v="0"/>
    <x v="6"/>
  </r>
  <r>
    <s v="ORD0442"/>
    <s v="2024-06-12"/>
    <x v="2"/>
    <x v="1"/>
    <x v="2"/>
    <n v="42660.75"/>
    <n v="9"/>
    <n v="7737.66"/>
    <x v="1"/>
    <x v="0"/>
    <x v="0"/>
  </r>
  <r>
    <s v="ORD0443"/>
    <s v="2024-01-02"/>
    <x v="6"/>
    <x v="3"/>
    <x v="0"/>
    <n v="2202.13"/>
    <n v="5"/>
    <n v="313.23"/>
    <x v="1"/>
    <x v="0"/>
    <x v="5"/>
  </r>
  <r>
    <s v="ORD0444"/>
    <s v="2024-11-03"/>
    <x v="5"/>
    <x v="2"/>
    <x v="0"/>
    <n v="12864.12"/>
    <n v="6"/>
    <n v="1138.79"/>
    <x v="0"/>
    <x v="0"/>
    <x v="3"/>
  </r>
  <r>
    <s v="ORD0445"/>
    <s v="2024-10-16"/>
    <x v="5"/>
    <x v="2"/>
    <x v="3"/>
    <n v="5474.07"/>
    <n v="3"/>
    <n v="415.64"/>
    <x v="0"/>
    <x v="0"/>
    <x v="8"/>
  </r>
  <r>
    <s v="ORD0446"/>
    <s v="2024-11-23"/>
    <x v="6"/>
    <x v="3"/>
    <x v="2"/>
    <n v="27067.21"/>
    <n v="9"/>
    <n v="6291.35"/>
    <x v="2"/>
    <x v="0"/>
    <x v="3"/>
  </r>
  <r>
    <s v="ORD0447"/>
    <s v="2024-12-06"/>
    <x v="12"/>
    <x v="1"/>
    <x v="1"/>
    <n v="37292.120000000003"/>
    <n v="4"/>
    <n v="8687.18"/>
    <x v="2"/>
    <x v="0"/>
    <x v="6"/>
  </r>
  <r>
    <s v="ORD0448"/>
    <s v="2024-05-11"/>
    <x v="0"/>
    <x v="0"/>
    <x v="1"/>
    <n v="28759.05"/>
    <n v="8"/>
    <n v="5750.43"/>
    <x v="0"/>
    <x v="0"/>
    <x v="7"/>
  </r>
  <r>
    <s v="ORD0449"/>
    <s v="2024-05-05"/>
    <x v="1"/>
    <x v="1"/>
    <x v="2"/>
    <n v="4170.17"/>
    <n v="2"/>
    <n v="567.41999999999996"/>
    <x v="1"/>
    <x v="0"/>
    <x v="7"/>
  </r>
  <r>
    <s v="ORD0450"/>
    <s v="2024-12-16"/>
    <x v="14"/>
    <x v="2"/>
    <x v="2"/>
    <n v="42747.8"/>
    <n v="10"/>
    <n v="5691.38"/>
    <x v="2"/>
    <x v="0"/>
    <x v="6"/>
  </r>
  <r>
    <s v="ORD0451"/>
    <s v="2024-12-04"/>
    <x v="14"/>
    <x v="2"/>
    <x v="2"/>
    <n v="47849.08"/>
    <n v="8"/>
    <n v="3837.09"/>
    <x v="1"/>
    <x v="0"/>
    <x v="6"/>
  </r>
  <r>
    <s v="ORD0452"/>
    <s v="2024-04-09"/>
    <x v="10"/>
    <x v="2"/>
    <x v="3"/>
    <n v="15685.66"/>
    <n v="4"/>
    <n v="3602.62"/>
    <x v="0"/>
    <x v="0"/>
    <x v="9"/>
  </r>
  <r>
    <s v="ORD0453"/>
    <s v="2024-07-08"/>
    <x v="5"/>
    <x v="2"/>
    <x v="3"/>
    <n v="6888.55"/>
    <n v="9"/>
    <n v="673.92"/>
    <x v="0"/>
    <x v="0"/>
    <x v="1"/>
  </r>
  <r>
    <s v="ORD0454"/>
    <s v="2024-08-24"/>
    <x v="5"/>
    <x v="2"/>
    <x v="2"/>
    <n v="29604.98"/>
    <n v="8"/>
    <n v="2799.85"/>
    <x v="2"/>
    <x v="0"/>
    <x v="2"/>
  </r>
  <r>
    <s v="ORD0455"/>
    <s v="2024-05-14"/>
    <x v="3"/>
    <x v="0"/>
    <x v="2"/>
    <n v="15677.11"/>
    <n v="5"/>
    <n v="3070.28"/>
    <x v="2"/>
    <x v="0"/>
    <x v="7"/>
  </r>
  <r>
    <s v="ORD0456"/>
    <s v="2024-10-03"/>
    <x v="6"/>
    <x v="3"/>
    <x v="1"/>
    <n v="29493.71"/>
    <n v="1"/>
    <n v="6076.25"/>
    <x v="2"/>
    <x v="0"/>
    <x v="8"/>
  </r>
  <r>
    <s v="ORD0457"/>
    <s v="2024-02-13"/>
    <x v="1"/>
    <x v="1"/>
    <x v="3"/>
    <n v="30221.74"/>
    <n v="6"/>
    <n v="4187.2299999999996"/>
    <x v="2"/>
    <x v="0"/>
    <x v="11"/>
  </r>
  <r>
    <s v="ORD0458"/>
    <s v="2024-10-12"/>
    <x v="10"/>
    <x v="2"/>
    <x v="3"/>
    <n v="27077.1"/>
    <n v="9"/>
    <n v="5226.05"/>
    <x v="1"/>
    <x v="0"/>
    <x v="8"/>
  </r>
  <r>
    <s v="ORD0459"/>
    <s v="2024-11-29"/>
    <x v="11"/>
    <x v="2"/>
    <x v="2"/>
    <n v="37863.089999999997"/>
    <n v="9"/>
    <n v="8636.7199999999993"/>
    <x v="1"/>
    <x v="0"/>
    <x v="3"/>
  </r>
  <r>
    <s v="ORD0460"/>
    <s v="2024-11-09"/>
    <x v="5"/>
    <x v="2"/>
    <x v="0"/>
    <n v="2752.73"/>
    <n v="5"/>
    <n v="439.06"/>
    <x v="0"/>
    <x v="0"/>
    <x v="3"/>
  </r>
  <r>
    <s v="ORD0461"/>
    <s v="2024-10-27"/>
    <x v="8"/>
    <x v="0"/>
    <x v="1"/>
    <n v="28875.77"/>
    <n v="10"/>
    <n v="6350.6"/>
    <x v="1"/>
    <x v="0"/>
    <x v="8"/>
  </r>
  <r>
    <s v="ORD0462"/>
    <s v="2024-12-29"/>
    <x v="3"/>
    <x v="0"/>
    <x v="1"/>
    <n v="14313.41"/>
    <n v="7"/>
    <n v="861.33"/>
    <x v="1"/>
    <x v="0"/>
    <x v="6"/>
  </r>
  <r>
    <s v="ORD0463"/>
    <s v="2024-07-10"/>
    <x v="8"/>
    <x v="0"/>
    <x v="2"/>
    <n v="9939.99"/>
    <n v="8"/>
    <n v="1571.36"/>
    <x v="1"/>
    <x v="0"/>
    <x v="1"/>
  </r>
  <r>
    <s v="ORD0464"/>
    <s v="2024-10-25"/>
    <x v="0"/>
    <x v="0"/>
    <x v="1"/>
    <n v="28748.32"/>
    <n v="6"/>
    <n v="2715.26"/>
    <x v="2"/>
    <x v="0"/>
    <x v="8"/>
  </r>
  <r>
    <s v="ORD0465"/>
    <s v="2024-09-14"/>
    <x v="15"/>
    <x v="3"/>
    <x v="2"/>
    <n v="16164.05"/>
    <n v="2"/>
    <n v="1933.17"/>
    <x v="1"/>
    <x v="0"/>
    <x v="10"/>
  </r>
  <r>
    <s v="ORD0466"/>
    <s v="2024-04-21"/>
    <x v="10"/>
    <x v="2"/>
    <x v="0"/>
    <n v="47058.97"/>
    <n v="8"/>
    <n v="6905.2"/>
    <x v="0"/>
    <x v="0"/>
    <x v="9"/>
  </r>
  <r>
    <s v="ORD0467"/>
    <s v="2024-06-17"/>
    <x v="14"/>
    <x v="2"/>
    <x v="0"/>
    <n v="12269.95"/>
    <n v="8"/>
    <n v="1772.69"/>
    <x v="0"/>
    <x v="0"/>
    <x v="0"/>
  </r>
  <r>
    <s v="ORD0468"/>
    <s v="2024-01-01"/>
    <x v="11"/>
    <x v="2"/>
    <x v="0"/>
    <n v="38978.519999999997"/>
    <n v="2"/>
    <n v="5961.8"/>
    <x v="2"/>
    <x v="0"/>
    <x v="5"/>
  </r>
  <r>
    <s v="ORD0469"/>
    <s v="2024-01-13"/>
    <x v="6"/>
    <x v="3"/>
    <x v="2"/>
    <n v="18815.73"/>
    <n v="5"/>
    <n v="3587.15"/>
    <x v="0"/>
    <x v="0"/>
    <x v="5"/>
  </r>
  <r>
    <s v="ORD0470"/>
    <s v="2024-11-09"/>
    <x v="5"/>
    <x v="2"/>
    <x v="3"/>
    <n v="9078.2099999999991"/>
    <n v="3"/>
    <n v="1676.04"/>
    <x v="1"/>
    <x v="0"/>
    <x v="3"/>
  </r>
  <r>
    <s v="ORD0471"/>
    <s v="2024-04-20"/>
    <x v="3"/>
    <x v="0"/>
    <x v="2"/>
    <n v="35761.78"/>
    <n v="6"/>
    <n v="3553.44"/>
    <x v="0"/>
    <x v="0"/>
    <x v="9"/>
  </r>
  <r>
    <s v="ORD0472"/>
    <s v="2024-07-26"/>
    <x v="7"/>
    <x v="3"/>
    <x v="0"/>
    <n v="13453.15"/>
    <n v="2"/>
    <n v="3111.7"/>
    <x v="0"/>
    <x v="0"/>
    <x v="1"/>
  </r>
  <r>
    <s v="ORD0473"/>
    <s v="2024-04-15"/>
    <x v="2"/>
    <x v="1"/>
    <x v="1"/>
    <n v="8840.4699999999993"/>
    <n v="8"/>
    <n v="539.05999999999995"/>
    <x v="2"/>
    <x v="0"/>
    <x v="9"/>
  </r>
  <r>
    <s v="ORD0474"/>
    <s v="2024-05-06"/>
    <x v="13"/>
    <x v="3"/>
    <x v="3"/>
    <n v="2259.2399999999998"/>
    <n v="7"/>
    <n v="556.15"/>
    <x v="1"/>
    <x v="0"/>
    <x v="7"/>
  </r>
  <r>
    <s v="ORD0475"/>
    <s v="2024-04-21"/>
    <x v="2"/>
    <x v="1"/>
    <x v="3"/>
    <n v="25916.37"/>
    <n v="6"/>
    <n v="4041.45"/>
    <x v="2"/>
    <x v="0"/>
    <x v="9"/>
  </r>
  <r>
    <s v="ORD0476"/>
    <s v="2024-04-10"/>
    <x v="8"/>
    <x v="0"/>
    <x v="0"/>
    <n v="26623.05"/>
    <n v="4"/>
    <n v="2928.06"/>
    <x v="2"/>
    <x v="0"/>
    <x v="9"/>
  </r>
  <r>
    <s v="ORD0477"/>
    <s v="2024-02-04"/>
    <x v="13"/>
    <x v="3"/>
    <x v="0"/>
    <n v="12930.74"/>
    <n v="10"/>
    <n v="2527.02"/>
    <x v="1"/>
    <x v="0"/>
    <x v="11"/>
  </r>
  <r>
    <s v="ORD0478"/>
    <s v="2024-06-19"/>
    <x v="6"/>
    <x v="3"/>
    <x v="3"/>
    <n v="6387.69"/>
    <n v="8"/>
    <n v="1441.23"/>
    <x v="2"/>
    <x v="0"/>
    <x v="0"/>
  </r>
  <r>
    <s v="ORD0479"/>
    <s v="2024-09-14"/>
    <x v="7"/>
    <x v="3"/>
    <x v="3"/>
    <n v="12399.52"/>
    <n v="8"/>
    <n v="737.27"/>
    <x v="1"/>
    <x v="0"/>
    <x v="10"/>
  </r>
  <r>
    <s v="ORD0480"/>
    <s v="2024-12-30"/>
    <x v="2"/>
    <x v="1"/>
    <x v="2"/>
    <n v="34604.01"/>
    <n v="1"/>
    <n v="4342.17"/>
    <x v="1"/>
    <x v="0"/>
    <x v="6"/>
  </r>
  <r>
    <s v="ORD0481"/>
    <s v="2024-08-06"/>
    <x v="13"/>
    <x v="3"/>
    <x v="3"/>
    <n v="47360.49"/>
    <n v="4"/>
    <n v="7954.73"/>
    <x v="1"/>
    <x v="0"/>
    <x v="2"/>
  </r>
  <r>
    <s v="ORD0482"/>
    <s v="2024-07-11"/>
    <x v="5"/>
    <x v="2"/>
    <x v="0"/>
    <n v="1308.43"/>
    <n v="10"/>
    <n v="320.05"/>
    <x v="1"/>
    <x v="0"/>
    <x v="1"/>
  </r>
  <r>
    <s v="ORD0483"/>
    <s v="2024-08-10"/>
    <x v="14"/>
    <x v="2"/>
    <x v="3"/>
    <n v="46584.58"/>
    <n v="10"/>
    <n v="3790.43"/>
    <x v="0"/>
    <x v="0"/>
    <x v="2"/>
  </r>
  <r>
    <s v="ORD0484"/>
    <s v="2024-12-06"/>
    <x v="5"/>
    <x v="2"/>
    <x v="3"/>
    <n v="45108.3"/>
    <n v="10"/>
    <n v="6908.97"/>
    <x v="2"/>
    <x v="0"/>
    <x v="6"/>
  </r>
  <r>
    <s v="ORD0485"/>
    <s v="2024-12-11"/>
    <x v="0"/>
    <x v="0"/>
    <x v="1"/>
    <n v="39510.959999999999"/>
    <n v="9"/>
    <n v="3180.84"/>
    <x v="0"/>
    <x v="0"/>
    <x v="6"/>
  </r>
  <r>
    <s v="ORD0486"/>
    <s v="2024-01-01"/>
    <x v="4"/>
    <x v="0"/>
    <x v="2"/>
    <n v="9819.51"/>
    <n v="3"/>
    <n v="1408.19"/>
    <x v="0"/>
    <x v="0"/>
    <x v="5"/>
  </r>
  <r>
    <s v="ORD0487"/>
    <s v="2024-07-02"/>
    <x v="13"/>
    <x v="3"/>
    <x v="2"/>
    <n v="14744.45"/>
    <n v="1"/>
    <n v="1909.86"/>
    <x v="0"/>
    <x v="0"/>
    <x v="1"/>
  </r>
  <r>
    <s v="ORD0488"/>
    <s v="2024-06-19"/>
    <x v="7"/>
    <x v="3"/>
    <x v="0"/>
    <n v="10461.09"/>
    <n v="8"/>
    <n v="1540.4"/>
    <x v="2"/>
    <x v="0"/>
    <x v="0"/>
  </r>
  <r>
    <s v="ORD0489"/>
    <s v="2024-07-27"/>
    <x v="10"/>
    <x v="2"/>
    <x v="1"/>
    <n v="13602.2"/>
    <n v="1"/>
    <n v="2289.9699999999998"/>
    <x v="0"/>
    <x v="0"/>
    <x v="1"/>
  </r>
  <r>
    <s v="ORD0490"/>
    <s v="2024-02-03"/>
    <x v="5"/>
    <x v="2"/>
    <x v="3"/>
    <n v="23868.7"/>
    <n v="9"/>
    <n v="4326.28"/>
    <x v="0"/>
    <x v="0"/>
    <x v="11"/>
  </r>
  <r>
    <s v="ORD0491"/>
    <s v="2024-11-06"/>
    <x v="14"/>
    <x v="2"/>
    <x v="2"/>
    <n v="21608.87"/>
    <n v="2"/>
    <n v="3208.56"/>
    <x v="2"/>
    <x v="0"/>
    <x v="3"/>
  </r>
  <r>
    <s v="ORD0492"/>
    <s v="2024-06-27"/>
    <x v="2"/>
    <x v="1"/>
    <x v="3"/>
    <n v="32588.06"/>
    <n v="9"/>
    <n v="7047.25"/>
    <x v="1"/>
    <x v="0"/>
    <x v="0"/>
  </r>
  <r>
    <s v="ORD0493"/>
    <s v="2024-06-15"/>
    <x v="9"/>
    <x v="1"/>
    <x v="0"/>
    <n v="36785.980000000003"/>
    <n v="10"/>
    <n v="3394.05"/>
    <x v="0"/>
    <x v="0"/>
    <x v="0"/>
  </r>
  <r>
    <s v="ORD0494"/>
    <s v="2024-06-21"/>
    <x v="15"/>
    <x v="3"/>
    <x v="3"/>
    <n v="12603.44"/>
    <n v="1"/>
    <n v="1563.07"/>
    <x v="0"/>
    <x v="0"/>
    <x v="0"/>
  </r>
  <r>
    <s v="ORD0495"/>
    <s v="2024-05-11"/>
    <x v="11"/>
    <x v="2"/>
    <x v="1"/>
    <n v="48861.95"/>
    <n v="4"/>
    <n v="8216.09"/>
    <x v="2"/>
    <x v="0"/>
    <x v="7"/>
  </r>
  <r>
    <s v="ORD0496"/>
    <s v="2024-05-16"/>
    <x v="14"/>
    <x v="2"/>
    <x v="2"/>
    <n v="24755.73"/>
    <n v="2"/>
    <n v="3380.46"/>
    <x v="0"/>
    <x v="0"/>
    <x v="7"/>
  </r>
  <r>
    <s v="ORD0497"/>
    <s v="2024-01-05"/>
    <x v="5"/>
    <x v="2"/>
    <x v="0"/>
    <n v="16782.91"/>
    <n v="9"/>
    <n v="1658.89"/>
    <x v="2"/>
    <x v="0"/>
    <x v="5"/>
  </r>
  <r>
    <s v="ORD0498"/>
    <s v="2024-03-14"/>
    <x v="2"/>
    <x v="1"/>
    <x v="3"/>
    <n v="32160.89"/>
    <n v="2"/>
    <n v="2202.16"/>
    <x v="2"/>
    <x v="0"/>
    <x v="4"/>
  </r>
  <r>
    <s v="ORD0499"/>
    <s v="2024-08-30"/>
    <x v="0"/>
    <x v="0"/>
    <x v="1"/>
    <n v="19653.28"/>
    <n v="10"/>
    <n v="2723.72"/>
    <x v="1"/>
    <x v="0"/>
    <x v="2"/>
  </r>
  <r>
    <s v="ORD0500"/>
    <s v="2024-03-23"/>
    <x v="3"/>
    <x v="0"/>
    <x v="0"/>
    <n v="32516.15"/>
    <n v="3"/>
    <n v="4479.8100000000004"/>
    <x v="1"/>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CC0C68-9807-439E-A409-CD43AFA061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1">
    <pivotField dataField="1" showAll="0"/>
    <pivotField showAll="0"/>
    <pivotField showAll="0"/>
    <pivotField showAll="0">
      <items count="5">
        <item x="1"/>
        <item x="0"/>
        <item x="2"/>
        <item x="3"/>
        <item t="default"/>
      </items>
    </pivotField>
    <pivotField showAll="0">
      <items count="5">
        <item x="3"/>
        <item x="0"/>
        <item x="2"/>
        <item x="1"/>
        <item t="default"/>
      </items>
    </pivotField>
    <pivotField dataField="1" showAll="0"/>
    <pivotField dataField="1" showAll="0"/>
    <pivotField dataField="1" showAll="0"/>
    <pivotField showAll="0">
      <items count="4">
        <item x="0"/>
        <item x="2"/>
        <item x="1"/>
        <item t="default"/>
      </items>
    </pivotField>
    <pivotField showAll="0"/>
    <pivotField showAll="0">
      <items count="13">
        <item x="5"/>
        <item x="11"/>
        <item x="4"/>
        <item x="9"/>
        <item x="7"/>
        <item x="0"/>
        <item x="1"/>
        <item x="2"/>
        <item x="10"/>
        <item x="8"/>
        <item x="3"/>
        <item x="6"/>
        <item t="default"/>
      </items>
    </pivotField>
  </pivotFields>
  <rowItems count="1">
    <i/>
  </rowItems>
  <colFields count="1">
    <field x="-2"/>
  </colFields>
  <colItems count="4">
    <i>
      <x/>
    </i>
    <i i="1">
      <x v="1"/>
    </i>
    <i i="2">
      <x v="2"/>
    </i>
    <i i="3">
      <x v="3"/>
    </i>
  </colItems>
  <dataFields count="4">
    <dataField name="Count of Order_ID" fld="0" subtotal="count" baseField="0" baseItem="0"/>
    <dataField name="Sum of Sales_Amount" fld="5" baseField="0" baseItem="0" numFmtId="1"/>
    <dataField name="Sum of Quantity" fld="6" baseField="0" baseItem="0"/>
    <dataField name="Sum of Profit" fld="7" baseField="0" baseItem="0" numFmtId="1"/>
  </dataFields>
  <formats count="2">
    <format dxfId="74">
      <pivotArea outline="0" collapsedLevelsAreSubtotals="1" fieldPosition="0">
        <references count="1">
          <reference field="4294967294" count="1" selected="0">
            <x v="3"/>
          </reference>
        </references>
      </pivotArea>
    </format>
    <format dxfId="7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4597D6-81BA-459D-82C2-293F78ACC0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L23:M33" firstHeaderRow="1" firstDataRow="1" firstDataCol="1"/>
  <pivotFields count="11">
    <pivotField showAll="0"/>
    <pivotField showAll="0"/>
    <pivotField axis="axisRow" showAll="0">
      <items count="17">
        <item x="5"/>
        <item x="14"/>
        <item h="1" x="8"/>
        <item h="1" x="9"/>
        <item h="1" x="12"/>
        <item h="1" x="4"/>
        <item x="3"/>
        <item h="1" x="13"/>
        <item x="7"/>
        <item x="2"/>
        <item h="1" x="0"/>
        <item x="15"/>
        <item x="11"/>
        <item x="6"/>
        <item h="1" x="10"/>
        <item x="1"/>
        <item t="default"/>
      </items>
    </pivotField>
    <pivotField showAll="0">
      <items count="5">
        <item x="1"/>
        <item x="0"/>
        <item x="2"/>
        <item x="3"/>
        <item t="default"/>
      </items>
    </pivotField>
    <pivotField showAll="0">
      <items count="5">
        <item x="3"/>
        <item x="0"/>
        <item x="2"/>
        <item x="1"/>
        <item t="default"/>
      </items>
    </pivotField>
    <pivotField dataField="1" showAll="0"/>
    <pivotField showAll="0"/>
    <pivotField showAll="0"/>
    <pivotField showAll="0">
      <items count="4">
        <item x="0"/>
        <item x="2"/>
        <item x="1"/>
        <item t="default"/>
      </items>
    </pivotField>
    <pivotField showAll="0"/>
    <pivotField showAll="0">
      <items count="13">
        <item x="5"/>
        <item x="11"/>
        <item x="4"/>
        <item x="9"/>
        <item x="7"/>
        <item x="0"/>
        <item x="1"/>
        <item x="2"/>
        <item x="10"/>
        <item x="8"/>
        <item x="3"/>
        <item x="6"/>
        <item t="default"/>
      </items>
    </pivotField>
  </pivotFields>
  <rowFields count="1">
    <field x="2"/>
  </rowFields>
  <rowItems count="10">
    <i>
      <x/>
    </i>
    <i>
      <x v="1"/>
    </i>
    <i>
      <x v="6"/>
    </i>
    <i>
      <x v="8"/>
    </i>
    <i>
      <x v="9"/>
    </i>
    <i>
      <x v="11"/>
    </i>
    <i>
      <x v="12"/>
    </i>
    <i>
      <x v="13"/>
    </i>
    <i>
      <x v="15"/>
    </i>
    <i t="grand">
      <x/>
    </i>
  </rowItems>
  <colItems count="1">
    <i/>
  </colItems>
  <dataFields count="1">
    <dataField name="Sum of Sales_Amount" fld="5" baseField="0" baseItem="0" numFmtId="1"/>
  </dataFields>
  <formats count="1">
    <format dxfId="75">
      <pivotArea outline="0" collapsedLevelsAreSubtotals="1" fieldPosition="0"/>
    </format>
  </formats>
  <chartFormats count="3">
    <chartFormat chart="18" format="9"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2" count="1" selected="0">
            <x v="2"/>
          </reference>
        </references>
      </pivotArea>
    </chartFormat>
    <chartFormat chart="18" format="11">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709599-BBB1-4FB0-9F38-7F2E946543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7:M11" firstHeaderRow="1" firstDataRow="1" firstDataCol="1"/>
  <pivotFields count="11">
    <pivotField showAll="0"/>
    <pivotField showAll="0"/>
    <pivotField showAll="0"/>
    <pivotField showAll="0">
      <items count="5">
        <item x="1"/>
        <item x="0"/>
        <item x="2"/>
        <item x="3"/>
        <item t="default"/>
      </items>
    </pivotField>
    <pivotField showAll="0">
      <items count="5">
        <item x="3"/>
        <item x="0"/>
        <item x="2"/>
        <item x="1"/>
        <item t="default"/>
      </items>
    </pivotField>
    <pivotField dataField="1" showAll="0"/>
    <pivotField showAll="0"/>
    <pivotField showAll="0"/>
    <pivotField axis="axisRow" showAll="0">
      <items count="4">
        <item x="0"/>
        <item x="2"/>
        <item x="1"/>
        <item t="default"/>
      </items>
    </pivotField>
    <pivotField showAll="0"/>
    <pivotField showAll="0">
      <items count="13">
        <item x="5"/>
        <item x="11"/>
        <item x="4"/>
        <item x="9"/>
        <item x="7"/>
        <item x="0"/>
        <item x="1"/>
        <item x="2"/>
        <item x="10"/>
        <item x="8"/>
        <item x="3"/>
        <item x="6"/>
        <item t="default"/>
      </items>
    </pivotField>
  </pivotFields>
  <rowFields count="1">
    <field x="8"/>
  </rowFields>
  <rowItems count="4">
    <i>
      <x/>
    </i>
    <i>
      <x v="1"/>
    </i>
    <i>
      <x v="2"/>
    </i>
    <i t="grand">
      <x/>
    </i>
  </rowItems>
  <colItems count="1">
    <i/>
  </colItems>
  <dataFields count="1">
    <dataField name="Sum of Sales_Amount" fld="5" baseField="0" baseItem="0" numFmtId="1"/>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288D75-0F2A-4909-828B-EBCEE39D921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15:H20" firstHeaderRow="1" firstDataRow="1" firstDataCol="1"/>
  <pivotFields count="11">
    <pivotField showAll="0"/>
    <pivotField showAll="0"/>
    <pivotField showAll="0"/>
    <pivotField showAll="0">
      <items count="5">
        <item x="1"/>
        <item x="0"/>
        <item x="2"/>
        <item x="3"/>
        <item t="default"/>
      </items>
    </pivotField>
    <pivotField axis="axisRow" showAll="0">
      <items count="5">
        <item x="3"/>
        <item x="0"/>
        <item x="2"/>
        <item x="1"/>
        <item t="default"/>
      </items>
    </pivotField>
    <pivotField dataField="1" showAll="0"/>
    <pivotField showAll="0"/>
    <pivotField showAll="0"/>
    <pivotField showAll="0">
      <items count="4">
        <item x="0"/>
        <item x="2"/>
        <item x="1"/>
        <item t="default"/>
      </items>
    </pivotField>
    <pivotField showAll="0"/>
    <pivotField showAll="0">
      <items count="13">
        <item x="5"/>
        <item x="11"/>
        <item x="4"/>
        <item x="9"/>
        <item x="7"/>
        <item x="0"/>
        <item x="1"/>
        <item x="2"/>
        <item x="10"/>
        <item x="8"/>
        <item x="3"/>
        <item x="6"/>
        <item t="default"/>
      </items>
    </pivotField>
  </pivotFields>
  <rowFields count="1">
    <field x="4"/>
  </rowFields>
  <rowItems count="5">
    <i>
      <x/>
    </i>
    <i>
      <x v="1"/>
    </i>
    <i>
      <x v="2"/>
    </i>
    <i>
      <x v="3"/>
    </i>
    <i t="grand">
      <x/>
    </i>
  </rowItems>
  <colItems count="1">
    <i/>
  </colItems>
  <dataFields count="1">
    <dataField name="Sum of Sales_Amount" fld="5" baseField="0" baseItem="0" numFmtId="1"/>
  </dataFields>
  <formats count="1">
    <format dxfId="77">
      <pivotArea outline="0" collapsedLevelsAreSubtotals="1" fieldPosition="0"/>
    </format>
  </formats>
  <chartFormats count="6">
    <chartFormat chart="11" format="0" series="1">
      <pivotArea type="data" outline="0" fieldPosition="0">
        <references count="1">
          <reference field="4294967294" count="1" selected="0">
            <x v="0"/>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4" count="1" selected="0">
            <x v="0"/>
          </reference>
        </references>
      </pivotArea>
    </chartFormat>
    <chartFormat chart="18" format="18">
      <pivotArea type="data" outline="0" fieldPosition="0">
        <references count="2">
          <reference field="4294967294" count="1" selected="0">
            <x v="0"/>
          </reference>
          <reference field="4" count="1" selected="0">
            <x v="1"/>
          </reference>
        </references>
      </pivotArea>
    </chartFormat>
    <chartFormat chart="18" format="19">
      <pivotArea type="data" outline="0" fieldPosition="0">
        <references count="2">
          <reference field="4294967294" count="1" selected="0">
            <x v="0"/>
          </reference>
          <reference field="4" count="1" selected="0">
            <x v="2"/>
          </reference>
        </references>
      </pivotArea>
    </chartFormat>
    <chartFormat chart="18" format="2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04CA3C-9C5B-4F77-B130-76C06F0FB2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H6" firstHeaderRow="1" firstDataRow="1" firstDataCol="1"/>
  <pivotFields count="11">
    <pivotField showAll="0"/>
    <pivotField showAll="0"/>
    <pivotField showAll="0"/>
    <pivotField axis="axisRow" showAll="0">
      <items count="5">
        <item x="1"/>
        <item x="0"/>
        <item x="2"/>
        <item x="3"/>
        <item t="default"/>
      </items>
    </pivotField>
    <pivotField showAll="0">
      <items count="5">
        <item x="3"/>
        <item x="0"/>
        <item x="2"/>
        <item x="1"/>
        <item t="default"/>
      </items>
    </pivotField>
    <pivotField dataField="1" showAll="0"/>
    <pivotField showAll="0"/>
    <pivotField showAll="0"/>
    <pivotField showAll="0">
      <items count="4">
        <item x="0"/>
        <item x="2"/>
        <item x="1"/>
        <item t="default"/>
      </items>
    </pivotField>
    <pivotField showAll="0"/>
    <pivotField showAll="0">
      <items count="13">
        <item x="5"/>
        <item x="11"/>
        <item x="4"/>
        <item x="9"/>
        <item x="7"/>
        <item x="0"/>
        <item x="1"/>
        <item x="2"/>
        <item x="10"/>
        <item x="8"/>
        <item x="3"/>
        <item x="6"/>
        <item t="default"/>
      </items>
    </pivotField>
  </pivotFields>
  <rowFields count="1">
    <field x="3"/>
  </rowFields>
  <rowItems count="5">
    <i>
      <x/>
    </i>
    <i>
      <x v="1"/>
    </i>
    <i>
      <x v="2"/>
    </i>
    <i>
      <x v="3"/>
    </i>
    <i t="grand">
      <x/>
    </i>
  </rowItems>
  <colItems count="1">
    <i/>
  </colItems>
  <dataFields count="1">
    <dataField name="Sum of Sales_Amount" fld="5" baseField="0" baseItem="0" numFmtId="1"/>
  </dataFields>
  <formats count="1">
    <format dxfId="78">
      <pivotArea outline="0" collapsedLevelsAreSubtotals="1" fieldPosition="0"/>
    </format>
  </format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9E2C29-5CB8-4D3C-99CB-B0A1DADBB9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5:B29" firstHeaderRow="1" firstDataRow="1" firstDataCol="1"/>
  <pivotFields count="11">
    <pivotField showAll="0"/>
    <pivotField showAll="0"/>
    <pivotField showAll="0"/>
    <pivotField showAll="0">
      <items count="5">
        <item x="1"/>
        <item x="0"/>
        <item x="2"/>
        <item x="3"/>
        <item t="default"/>
      </items>
    </pivotField>
    <pivotField showAll="0">
      <items count="5">
        <item x="3"/>
        <item x="0"/>
        <item x="2"/>
        <item x="1"/>
        <item t="default"/>
      </items>
    </pivotField>
    <pivotField dataField="1" showAll="0"/>
    <pivotField showAll="0"/>
    <pivotField showAll="0"/>
    <pivotField showAll="0">
      <items count="4">
        <item x="0"/>
        <item x="2"/>
        <item x="1"/>
        <item t="default"/>
      </items>
    </pivotField>
    <pivotField axis="axisRow" showAll="0">
      <items count="2">
        <item x="0"/>
        <item t="default"/>
      </items>
    </pivotField>
    <pivotField axis="axisRow" showAll="0">
      <items count="13">
        <item x="5"/>
        <item x="11"/>
        <item x="4"/>
        <item x="9"/>
        <item x="7"/>
        <item x="0"/>
        <item x="1"/>
        <item x="2"/>
        <item x="10"/>
        <item x="8"/>
        <item x="3"/>
        <item x="6"/>
        <item t="default"/>
      </items>
    </pivotField>
  </pivotFields>
  <rowFields count="2">
    <field x="9"/>
    <field x="10"/>
  </rowFields>
  <rowItems count="14">
    <i>
      <x/>
    </i>
    <i r="1">
      <x/>
    </i>
    <i r="1">
      <x v="1"/>
    </i>
    <i r="1">
      <x v="2"/>
    </i>
    <i r="1">
      <x v="3"/>
    </i>
    <i r="1">
      <x v="4"/>
    </i>
    <i r="1">
      <x v="5"/>
    </i>
    <i r="1">
      <x v="6"/>
    </i>
    <i r="1">
      <x v="7"/>
    </i>
    <i r="1">
      <x v="8"/>
    </i>
    <i r="1">
      <x v="9"/>
    </i>
    <i r="1">
      <x v="10"/>
    </i>
    <i r="1">
      <x v="11"/>
    </i>
    <i t="grand">
      <x/>
    </i>
  </rowItems>
  <colItems count="1">
    <i/>
  </colItems>
  <dataFields count="1">
    <dataField name="Sum of Sales_Amount" fld="5" baseField="0" baseItem="0" numFmtId="1"/>
  </dataFields>
  <formats count="1">
    <format dxfId="79">
      <pivotArea outline="0" collapsedLevelsAreSubtotals="1" fieldPosition="0"/>
    </format>
  </formats>
  <chartFormats count="2">
    <chartFormat chart="15" format="6" series="1">
      <pivotArea type="data" outline="0" fieldPosition="0">
        <references count="1">
          <reference field="4294967294" count="1" selected="0">
            <x v="0"/>
          </reference>
        </references>
      </pivotArea>
    </chartFormat>
    <chartFormat chart="15" format="7">
      <pivotArea type="data" outline="0" fieldPosition="0">
        <references count="3">
          <reference field="4294967294" count="1" selected="0">
            <x v="0"/>
          </reference>
          <reference field="9" count="1" selected="0">
            <x v="0"/>
          </reference>
          <reference field="1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6AD60EF-BABF-48EA-B221-BA941630DC22}" sourceName="Category">
  <pivotTables>
    <pivotTable tabId="4" name="PivotTable3"/>
    <pivotTable tabId="4" name="PivotTable1"/>
    <pivotTable tabId="4" name="PivotTable2"/>
    <pivotTable tabId="4" name="PivotTable4"/>
    <pivotTable tabId="4" name="PivotTable5"/>
    <pivotTable tabId="4" name="PivotTable6"/>
  </pivotTables>
  <data>
    <tabular pivotCacheId="1988565716">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01AB9E-5997-487E-A894-3D837AD140D8}" sourceName="Region">
  <pivotTables>
    <pivotTable tabId="4" name="PivotTable2"/>
    <pivotTable tabId="4" name="PivotTable1"/>
    <pivotTable tabId="4" name="PivotTable3"/>
    <pivotTable tabId="4" name="PivotTable4"/>
    <pivotTable tabId="4" name="PivotTable5"/>
    <pivotTable tabId="4" name="PivotTable6"/>
  </pivotTables>
  <data>
    <tabular pivotCacheId="1988565716">
      <items count="4">
        <i x="3" s="1"/>
        <i x="0" s="1"/>
        <i x="2"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0B0CD30-0EAA-4724-A893-89DD5E5BE7F3}" sourceName="month_name">
  <pivotTables>
    <pivotTable tabId="4" name="PivotTable6"/>
    <pivotTable tabId="4" name="PivotTable1"/>
    <pivotTable tabId="4" name="PivotTable3"/>
    <pivotTable tabId="4" name="PivotTable4"/>
    <pivotTable tabId="4" name="PivotTable5"/>
  </pivotTables>
  <data>
    <tabular pivotCacheId="1988565716">
      <items count="12">
        <i x="5" s="1"/>
        <i x="11" s="1"/>
        <i x="4" s="1"/>
        <i x="9" s="1"/>
        <i x="7" s="1"/>
        <i x="0" s="1"/>
        <i x="1" s="1"/>
        <i x="2" s="1"/>
        <i x="10" s="1"/>
        <i x="8"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EABF20B-383D-4187-9CA2-8A2369A6F3C1}" cache="Slicer_Category" caption="CATEGORY" style="SlicerStyleDark1" rowHeight="396000"/>
  <slicer name="Region 1" xr10:uid="{72A7F8CD-A833-4167-B5EB-F7D044FCF822}" cache="Slicer_Region" caption="REGION" columnCount="2" style="SlicerStyleDark1" rowHeight="288000"/>
  <slicer name="month_name 1" xr10:uid="{17808A01-C7BF-49B6-AC09-522192D0A03A}" cache="Slicer_month_name" caption="MONTH" style="SlicerStyleDark1"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703B22-D543-4B0E-99F7-A68F380968A7}" name="Retail_Data" displayName="Retail_Data" ref="A1:K501" totalsRowShown="0">
  <autoFilter ref="A1:K501" xr:uid="{65703B22-D543-4B0E-99F7-A68F380968A7}"/>
  <tableColumns count="11">
    <tableColumn id="1" xr3:uid="{AA5AE60B-6D05-446E-AF81-9FE3C2360BAF}" name="Order_ID"/>
    <tableColumn id="2" xr3:uid="{15FF4F4C-70D7-41D3-B94E-DB715ADB7952}" name="Order_Date" dataDxfId="72"/>
    <tableColumn id="3" xr3:uid="{F7F0180C-5088-4870-81A0-EE10B401465F}" name="Product"/>
    <tableColumn id="4" xr3:uid="{75A8F7C1-9BA4-444F-8869-E74AB46AC8DB}" name="Category"/>
    <tableColumn id="5" xr3:uid="{EA3C0DE5-D08C-4D01-891A-4E231514274E}" name="Region"/>
    <tableColumn id="6" xr3:uid="{81144270-9669-4886-9D9A-42A2BCDE728A}" name="Sales_Amount" dataDxfId="71"/>
    <tableColumn id="7" xr3:uid="{0D37E3EA-F8AD-44B0-AD2C-0BED7452D04A}" name="Quantity"/>
    <tableColumn id="8" xr3:uid="{5E3A9CC5-8B59-4BFC-BA28-E6D059DE5F0E}" name="Profit" dataDxfId="70"/>
    <tableColumn id="9" xr3:uid="{F9A35E8B-FEE5-4B96-95AE-CE22AC33BEA9}" name="Payment_Mode"/>
    <tableColumn id="10" xr3:uid="{DDE3FECF-4CFE-4528-BBF6-7804DBAFD044}" name="year" dataDxfId="69">
      <calculatedColumnFormula>YEAR(Retail_Data[Order_Date])</calculatedColumnFormula>
    </tableColumn>
    <tableColumn id="11" xr3:uid="{633DD314-E8DC-4F65-9C7D-8B7B6F615280}" name="month_name" dataDxfId="68">
      <calculatedColumnFormula>TEXT(Retail_Data[Order_Date],"MMM")</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396FA6-FA2B-4AAB-92A2-6F931EFF3D92}" name="Table2" displayName="Table2" ref="N1:N2" totalsRowShown="0">
  <autoFilter ref="N1:N2" xr:uid="{68396FA6-FA2B-4AAB-92A2-6F931EFF3D92}"/>
  <tableColumns count="1">
    <tableColumn id="1" xr3:uid="{E1C9EC41-1637-462B-8712-C048A598E7F3}" name="TOTAL SALES" dataDxfId="67">
      <calculatedColumnFormula>SUM(Retail_Data[Sales_Amount])</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DE06A2-46D4-4C7F-863C-5A4AE5CBB28D}" name="Table3" displayName="Table3" ref="N4:N5" totalsRowShown="0">
  <autoFilter ref="N4:N5" xr:uid="{E4DE06A2-46D4-4C7F-863C-5A4AE5CBB28D}"/>
  <tableColumns count="1">
    <tableColumn id="1" xr3:uid="{2716469D-ED25-441C-9EC2-D397EDAE58AA}" name="TOTAL PROFIT" dataDxfId="66">
      <calculatedColumnFormula>SUM(Retail_Data[Profit])</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127FD5-0E1E-4FD4-949A-3980B80EFF15}" name="Table4" displayName="Table4" ref="N7:N8" totalsRowShown="0">
  <autoFilter ref="N7:N8" xr:uid="{8D127FD5-0E1E-4FD4-949A-3980B80EFF15}"/>
  <tableColumns count="1">
    <tableColumn id="1" xr3:uid="{DB259B0F-3A30-416A-960E-0CA1F118736A}" name="TOTAL QUANTITY">
      <calculatedColumnFormula>SUM(Retail_Data[Quantity])</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817137-B813-4575-A80F-23BE8188BDEE}" name="Table5" displayName="Table5" ref="N10:N11" totalsRowShown="0">
  <autoFilter ref="N10:N11" xr:uid="{E7817137-B813-4575-A80F-23BE8188BDEE}"/>
  <tableColumns count="1">
    <tableColumn id="1" xr3:uid="{E89CCE1A-B22C-46F0-9FA8-A7454C8D51DE}" name="TOTAL ORDER">
      <calculatedColumnFormula>COUNTA(Retail_Data[Order_ID])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2EF2D-B669-472D-83B7-1CC7A439E211}">
  <dimension ref="A1"/>
  <sheetViews>
    <sheetView showGridLines="0" showRowColHeaders="0" tabSelected="1" zoomScale="68" zoomScaleNormal="68" workbookViewId="0">
      <selection activeCell="AD43" sqref="AD4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413A5-9771-4019-8061-58F14605EAEC}">
  <dimension ref="A1:M33"/>
  <sheetViews>
    <sheetView zoomScale="92" zoomScaleNormal="92" workbookViewId="0">
      <selection activeCell="D24" sqref="D24"/>
    </sheetView>
  </sheetViews>
  <sheetFormatPr defaultRowHeight="14.4" x14ac:dyDescent="0.3"/>
  <cols>
    <col min="1" max="1" width="16.88671875" bestFit="1" customWidth="1"/>
    <col min="2" max="2" width="19.88671875" bestFit="1" customWidth="1"/>
    <col min="3" max="3" width="15.109375" bestFit="1" customWidth="1"/>
    <col min="4" max="4" width="12.21875" bestFit="1" customWidth="1"/>
    <col min="7" max="7" width="13.109375" bestFit="1" customWidth="1"/>
    <col min="8" max="8" width="19.88671875" bestFit="1" customWidth="1"/>
    <col min="12" max="12" width="13.109375" bestFit="1" customWidth="1"/>
    <col min="13" max="13" width="19.88671875" bestFit="1" customWidth="1"/>
  </cols>
  <sheetData>
    <row r="1" spans="1:13" x14ac:dyDescent="0.3">
      <c r="A1" t="s">
        <v>812</v>
      </c>
      <c r="B1" t="s">
        <v>809</v>
      </c>
      <c r="C1" t="s">
        <v>811</v>
      </c>
      <c r="D1" t="s">
        <v>810</v>
      </c>
      <c r="G1" s="2" t="s">
        <v>813</v>
      </c>
      <c r="H1" t="s">
        <v>809</v>
      </c>
    </row>
    <row r="2" spans="1:13" x14ac:dyDescent="0.3">
      <c r="A2" s="5">
        <v>500</v>
      </c>
      <c r="B2" s="1">
        <v>12430445.100000003</v>
      </c>
      <c r="C2" s="5">
        <v>2797</v>
      </c>
      <c r="D2" s="1">
        <v>1898073.32</v>
      </c>
      <c r="G2" s="3" t="s">
        <v>18</v>
      </c>
      <c r="H2" s="1">
        <v>3058288.0400000019</v>
      </c>
    </row>
    <row r="3" spans="1:13" x14ac:dyDescent="0.3">
      <c r="G3" s="3" t="s">
        <v>12</v>
      </c>
      <c r="H3" s="1">
        <v>2652212.169999999</v>
      </c>
    </row>
    <row r="4" spans="1:13" x14ac:dyDescent="0.3">
      <c r="G4" s="3" t="s">
        <v>34</v>
      </c>
      <c r="H4" s="1">
        <v>3663776.7900000019</v>
      </c>
    </row>
    <row r="5" spans="1:13" x14ac:dyDescent="0.3">
      <c r="G5" s="3" t="s">
        <v>39</v>
      </c>
      <c r="H5" s="1">
        <v>3056168.1000000015</v>
      </c>
    </row>
    <row r="6" spans="1:13" x14ac:dyDescent="0.3">
      <c r="G6" s="3" t="s">
        <v>814</v>
      </c>
      <c r="H6" s="1">
        <v>12430445.100000005</v>
      </c>
    </row>
    <row r="7" spans="1:13" x14ac:dyDescent="0.3">
      <c r="L7" s="2" t="s">
        <v>813</v>
      </c>
      <c r="M7" t="s">
        <v>809</v>
      </c>
    </row>
    <row r="8" spans="1:13" x14ac:dyDescent="0.3">
      <c r="L8" s="3" t="s">
        <v>14</v>
      </c>
      <c r="M8" s="1">
        <v>4077713.350000001</v>
      </c>
    </row>
    <row r="9" spans="1:13" x14ac:dyDescent="0.3">
      <c r="L9" s="3" t="s">
        <v>35</v>
      </c>
      <c r="M9" s="1">
        <v>4127415.8100000019</v>
      </c>
    </row>
    <row r="10" spans="1:13" x14ac:dyDescent="0.3">
      <c r="L10" s="3" t="s">
        <v>23</v>
      </c>
      <c r="M10" s="1">
        <v>4225315.9400000013</v>
      </c>
    </row>
    <row r="11" spans="1:13" x14ac:dyDescent="0.3">
      <c r="L11" s="3" t="s">
        <v>814</v>
      </c>
      <c r="M11" s="1">
        <v>12430445.100000005</v>
      </c>
    </row>
    <row r="15" spans="1:13" x14ac:dyDescent="0.3">
      <c r="A15" s="2" t="s">
        <v>813</v>
      </c>
      <c r="B15" t="s">
        <v>809</v>
      </c>
      <c r="G15" s="2" t="s">
        <v>813</v>
      </c>
      <c r="H15" t="s">
        <v>809</v>
      </c>
    </row>
    <row r="16" spans="1:13" x14ac:dyDescent="0.3">
      <c r="A16" s="3">
        <v>2024</v>
      </c>
      <c r="B16" s="1">
        <v>12430445.1</v>
      </c>
      <c r="G16" s="3" t="s">
        <v>57</v>
      </c>
      <c r="H16" s="1">
        <v>2697118.310000001</v>
      </c>
    </row>
    <row r="17" spans="1:13" x14ac:dyDescent="0.3">
      <c r="A17" s="4" t="s">
        <v>817</v>
      </c>
      <c r="B17" s="1">
        <v>1134548.6200000001</v>
      </c>
      <c r="G17" s="3" t="s">
        <v>13</v>
      </c>
      <c r="H17" s="1">
        <v>3386342.1100000003</v>
      </c>
    </row>
    <row r="18" spans="1:13" x14ac:dyDescent="0.3">
      <c r="A18" s="4" t="s">
        <v>818</v>
      </c>
      <c r="B18" s="1">
        <v>956219.40999999968</v>
      </c>
      <c r="G18" s="3" t="s">
        <v>27</v>
      </c>
      <c r="H18" s="1">
        <v>3356449.4200000009</v>
      </c>
    </row>
    <row r="19" spans="1:13" x14ac:dyDescent="0.3">
      <c r="A19" s="4" t="s">
        <v>819</v>
      </c>
      <c r="B19" s="1">
        <v>936662.63</v>
      </c>
      <c r="G19" s="3" t="s">
        <v>22</v>
      </c>
      <c r="H19" s="1">
        <v>2990535.2600000026</v>
      </c>
    </row>
    <row r="20" spans="1:13" x14ac:dyDescent="0.3">
      <c r="A20" s="4" t="s">
        <v>820</v>
      </c>
      <c r="B20" s="1">
        <v>955437.09</v>
      </c>
      <c r="G20" s="3" t="s">
        <v>814</v>
      </c>
      <c r="H20" s="1">
        <v>12430445.100000005</v>
      </c>
    </row>
    <row r="21" spans="1:13" x14ac:dyDescent="0.3">
      <c r="A21" s="4" t="s">
        <v>821</v>
      </c>
      <c r="B21" s="1">
        <v>1204427.3599999999</v>
      </c>
    </row>
    <row r="22" spans="1:13" x14ac:dyDescent="0.3">
      <c r="A22" s="4" t="s">
        <v>822</v>
      </c>
      <c r="B22" s="1">
        <v>1138282.6099999999</v>
      </c>
    </row>
    <row r="23" spans="1:13" x14ac:dyDescent="0.3">
      <c r="A23" s="4" t="s">
        <v>823</v>
      </c>
      <c r="B23" s="1">
        <v>816571.71999999986</v>
      </c>
      <c r="L23" s="2" t="s">
        <v>813</v>
      </c>
      <c r="M23" t="s">
        <v>809</v>
      </c>
    </row>
    <row r="24" spans="1:13" x14ac:dyDescent="0.3">
      <c r="A24" s="4" t="s">
        <v>824</v>
      </c>
      <c r="B24" s="1">
        <v>1029204.4200000002</v>
      </c>
      <c r="L24" s="3" t="s">
        <v>33</v>
      </c>
      <c r="M24" s="1">
        <v>1107312.9500000002</v>
      </c>
    </row>
    <row r="25" spans="1:13" x14ac:dyDescent="0.3">
      <c r="A25" s="4" t="s">
        <v>825</v>
      </c>
      <c r="B25" s="1">
        <v>1017369.7300000001</v>
      </c>
      <c r="L25" s="3" t="s">
        <v>109</v>
      </c>
      <c r="M25" s="1">
        <v>1065682.32</v>
      </c>
    </row>
    <row r="26" spans="1:13" x14ac:dyDescent="0.3">
      <c r="A26" s="4" t="s">
        <v>826</v>
      </c>
      <c r="B26" s="1">
        <v>896086.05999999971</v>
      </c>
      <c r="L26" s="3" t="s">
        <v>26</v>
      </c>
      <c r="M26" s="1">
        <v>720730.59000000008</v>
      </c>
    </row>
    <row r="27" spans="1:13" x14ac:dyDescent="0.3">
      <c r="A27" s="4" t="s">
        <v>827</v>
      </c>
      <c r="B27" s="1">
        <v>1040084.57</v>
      </c>
      <c r="L27" s="3" t="s">
        <v>44</v>
      </c>
      <c r="M27" s="1">
        <v>907558.1399999999</v>
      </c>
    </row>
    <row r="28" spans="1:13" x14ac:dyDescent="0.3">
      <c r="A28" s="4" t="s">
        <v>828</v>
      </c>
      <c r="B28" s="1">
        <v>1305550.8800000004</v>
      </c>
      <c r="L28" s="3" t="s">
        <v>21</v>
      </c>
      <c r="M28" s="1">
        <v>984813.33000000007</v>
      </c>
    </row>
    <row r="29" spans="1:13" x14ac:dyDescent="0.3">
      <c r="A29" s="3" t="s">
        <v>814</v>
      </c>
      <c r="B29" s="1">
        <v>12430445.1</v>
      </c>
      <c r="L29" s="3" t="s">
        <v>141</v>
      </c>
      <c r="M29" s="1">
        <v>552415.42999999993</v>
      </c>
    </row>
    <row r="30" spans="1:13" x14ac:dyDescent="0.3">
      <c r="L30" s="3" t="s">
        <v>69</v>
      </c>
      <c r="M30" s="1">
        <v>967320.49000000022</v>
      </c>
    </row>
    <row r="31" spans="1:13" x14ac:dyDescent="0.3">
      <c r="L31" s="3" t="s">
        <v>38</v>
      </c>
      <c r="M31" s="1">
        <v>956584.93</v>
      </c>
    </row>
    <row r="32" spans="1:13" x14ac:dyDescent="0.3">
      <c r="L32" s="3" t="s">
        <v>17</v>
      </c>
      <c r="M32" s="1">
        <v>974127.70000000007</v>
      </c>
    </row>
    <row r="33" spans="12:13" x14ac:dyDescent="0.3">
      <c r="L33" s="3" t="s">
        <v>814</v>
      </c>
      <c r="M33" s="1">
        <v>8236545.8799999999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1"/>
  <sheetViews>
    <sheetView workbookViewId="0">
      <selection activeCell="O19" sqref="O19"/>
    </sheetView>
  </sheetViews>
  <sheetFormatPr defaultRowHeight="14.4" x14ac:dyDescent="0.3"/>
  <cols>
    <col min="1" max="1" width="10.44140625" customWidth="1"/>
    <col min="2" max="2" width="12.5546875" customWidth="1"/>
    <col min="3" max="3" width="11.5546875" bestFit="1" customWidth="1"/>
    <col min="4" max="4" width="10.44140625" customWidth="1"/>
    <col min="5" max="5" width="8.6640625" customWidth="1"/>
    <col min="6" max="6" width="15" customWidth="1"/>
    <col min="7" max="7" width="10.21875" customWidth="1"/>
    <col min="8" max="8" width="9" bestFit="1" customWidth="1"/>
    <col min="9" max="9" width="16.44140625" customWidth="1"/>
    <col min="14" max="14" width="17.5546875" customWidth="1"/>
  </cols>
  <sheetData>
    <row r="1" spans="1:14" x14ac:dyDescent="0.3">
      <c r="A1" t="s">
        <v>0</v>
      </c>
      <c r="B1" t="s">
        <v>1</v>
      </c>
      <c r="C1" t="s">
        <v>2</v>
      </c>
      <c r="D1" t="s">
        <v>3</v>
      </c>
      <c r="E1" t="s">
        <v>4</v>
      </c>
      <c r="F1" t="s">
        <v>5</v>
      </c>
      <c r="G1" t="s">
        <v>6</v>
      </c>
      <c r="H1" t="s">
        <v>7</v>
      </c>
      <c r="I1" t="s">
        <v>8</v>
      </c>
      <c r="J1" t="s">
        <v>815</v>
      </c>
      <c r="K1" t="s">
        <v>816</v>
      </c>
      <c r="N1" t="s">
        <v>829</v>
      </c>
    </row>
    <row r="2" spans="1:14" x14ac:dyDescent="0.3">
      <c r="A2" t="s">
        <v>9</v>
      </c>
      <c r="B2" t="s">
        <v>10</v>
      </c>
      <c r="C2" t="s">
        <v>11</v>
      </c>
      <c r="D2" t="s">
        <v>12</v>
      </c>
      <c r="E2" t="s">
        <v>13</v>
      </c>
      <c r="F2" s="1">
        <v>18531.32</v>
      </c>
      <c r="G2">
        <v>5</v>
      </c>
      <c r="H2" s="1">
        <v>2777.24</v>
      </c>
      <c r="I2" t="s">
        <v>14</v>
      </c>
      <c r="J2">
        <f>YEAR(Retail_Data[Order_Date])</f>
        <v>2024</v>
      </c>
      <c r="K2" t="str">
        <f>TEXT(Retail_Data[Order_Date],"MMM")</f>
        <v>Jun</v>
      </c>
      <c r="N2" s="1">
        <f>SUM(Retail_Data[Sales_Amount])</f>
        <v>12430445.100000003</v>
      </c>
    </row>
    <row r="3" spans="1:14" x14ac:dyDescent="0.3">
      <c r="A3" t="s">
        <v>15</v>
      </c>
      <c r="B3" t="s">
        <v>16</v>
      </c>
      <c r="C3" t="s">
        <v>17</v>
      </c>
      <c r="D3" t="s">
        <v>18</v>
      </c>
      <c r="E3" t="s">
        <v>13</v>
      </c>
      <c r="F3" s="1">
        <v>34505.89</v>
      </c>
      <c r="G3">
        <v>1</v>
      </c>
      <c r="H3" s="1">
        <v>4593.2700000000004</v>
      </c>
      <c r="I3" t="s">
        <v>14</v>
      </c>
      <c r="J3">
        <f>YEAR(Retail_Data[Order_Date])</f>
        <v>2024</v>
      </c>
      <c r="K3" t="str">
        <f>TEXT(Retail_Data[Order_Date],"MMM")</f>
        <v>Jul</v>
      </c>
    </row>
    <row r="4" spans="1:14" x14ac:dyDescent="0.3">
      <c r="A4" t="s">
        <v>19</v>
      </c>
      <c r="B4" t="s">
        <v>20</v>
      </c>
      <c r="C4" t="s">
        <v>21</v>
      </c>
      <c r="D4" t="s">
        <v>18</v>
      </c>
      <c r="E4" t="s">
        <v>22</v>
      </c>
      <c r="F4" s="1">
        <v>22210.77</v>
      </c>
      <c r="G4">
        <v>2</v>
      </c>
      <c r="H4" s="1">
        <v>3516.37</v>
      </c>
      <c r="I4" t="s">
        <v>23</v>
      </c>
      <c r="J4">
        <f>YEAR(Retail_Data[Order_Date])</f>
        <v>2024</v>
      </c>
      <c r="K4" t="str">
        <f>TEXT(Retail_Data[Order_Date],"MMM")</f>
        <v>Aug</v>
      </c>
      <c r="N4" t="s">
        <v>830</v>
      </c>
    </row>
    <row r="5" spans="1:14" x14ac:dyDescent="0.3">
      <c r="A5" t="s">
        <v>24</v>
      </c>
      <c r="B5" t="s">
        <v>25</v>
      </c>
      <c r="C5" t="s">
        <v>26</v>
      </c>
      <c r="D5" t="s">
        <v>12</v>
      </c>
      <c r="E5" t="s">
        <v>27</v>
      </c>
      <c r="F5" s="1">
        <v>19993.29</v>
      </c>
      <c r="G5">
        <v>3</v>
      </c>
      <c r="H5" s="1">
        <v>2521.27</v>
      </c>
      <c r="I5" t="s">
        <v>14</v>
      </c>
      <c r="J5">
        <f>YEAR(Retail_Data[Order_Date])</f>
        <v>2024</v>
      </c>
      <c r="K5" t="str">
        <f>TEXT(Retail_Data[Order_Date],"MMM")</f>
        <v>Nov</v>
      </c>
      <c r="N5" s="1">
        <f>SUM(Retail_Data[Profit])</f>
        <v>1898073.32</v>
      </c>
    </row>
    <row r="6" spans="1:14" x14ac:dyDescent="0.3">
      <c r="A6" t="s">
        <v>28</v>
      </c>
      <c r="B6" t="s">
        <v>29</v>
      </c>
      <c r="C6" t="s">
        <v>30</v>
      </c>
      <c r="D6" t="s">
        <v>12</v>
      </c>
      <c r="E6" t="s">
        <v>22</v>
      </c>
      <c r="F6" s="1">
        <v>17238.37</v>
      </c>
      <c r="G6">
        <v>5</v>
      </c>
      <c r="H6" s="1">
        <v>2806.06</v>
      </c>
      <c r="I6" t="s">
        <v>23</v>
      </c>
      <c r="J6">
        <f>YEAR(Retail_Data[Order_Date])</f>
        <v>2024</v>
      </c>
      <c r="K6" t="str">
        <f>TEXT(Retail_Data[Order_Date],"MMM")</f>
        <v>Mar</v>
      </c>
    </row>
    <row r="7" spans="1:14" x14ac:dyDescent="0.3">
      <c r="A7" t="s">
        <v>31</v>
      </c>
      <c r="B7" t="s">
        <v>32</v>
      </c>
      <c r="C7" t="s">
        <v>33</v>
      </c>
      <c r="D7" t="s">
        <v>34</v>
      </c>
      <c r="E7" t="s">
        <v>13</v>
      </c>
      <c r="F7" s="1">
        <v>15765.34</v>
      </c>
      <c r="G7">
        <v>9</v>
      </c>
      <c r="H7" s="1">
        <v>2276.5300000000002</v>
      </c>
      <c r="I7" t="s">
        <v>35</v>
      </c>
      <c r="J7">
        <f>YEAR(Retail_Data[Order_Date])</f>
        <v>2024</v>
      </c>
      <c r="K7" t="str">
        <f>TEXT(Retail_Data[Order_Date],"MMM")</f>
        <v>Jan</v>
      </c>
      <c r="N7" t="s">
        <v>831</v>
      </c>
    </row>
    <row r="8" spans="1:14" x14ac:dyDescent="0.3">
      <c r="A8" t="s">
        <v>36</v>
      </c>
      <c r="B8" t="s">
        <v>37</v>
      </c>
      <c r="C8" t="s">
        <v>38</v>
      </c>
      <c r="D8" t="s">
        <v>39</v>
      </c>
      <c r="E8" t="s">
        <v>27</v>
      </c>
      <c r="F8" s="1">
        <v>24570.48</v>
      </c>
      <c r="G8">
        <v>8</v>
      </c>
      <c r="H8" s="1">
        <v>5499.06</v>
      </c>
      <c r="I8" t="s">
        <v>14</v>
      </c>
      <c r="J8">
        <f>YEAR(Retail_Data[Order_Date])</f>
        <v>2024</v>
      </c>
      <c r="K8" t="str">
        <f>TEXT(Retail_Data[Order_Date],"MMM")</f>
        <v>Jun</v>
      </c>
      <c r="N8">
        <f>SUM(Retail_Data[Quantity])</f>
        <v>2797</v>
      </c>
    </row>
    <row r="9" spans="1:14" x14ac:dyDescent="0.3">
      <c r="A9" t="s">
        <v>40</v>
      </c>
      <c r="B9" t="s">
        <v>41</v>
      </c>
      <c r="C9" t="s">
        <v>30</v>
      </c>
      <c r="D9" t="s">
        <v>12</v>
      </c>
      <c r="E9" t="s">
        <v>13</v>
      </c>
      <c r="F9" s="1">
        <v>47999.85</v>
      </c>
      <c r="G9">
        <v>10</v>
      </c>
      <c r="H9" s="1">
        <v>11570.12</v>
      </c>
      <c r="I9" t="s">
        <v>14</v>
      </c>
      <c r="J9">
        <f>YEAR(Retail_Data[Order_Date])</f>
        <v>2024</v>
      </c>
      <c r="K9" t="str">
        <f>TEXT(Retail_Data[Order_Date],"MMM")</f>
        <v>Jul</v>
      </c>
    </row>
    <row r="10" spans="1:14" x14ac:dyDescent="0.3">
      <c r="A10" t="s">
        <v>42</v>
      </c>
      <c r="B10" t="s">
        <v>43</v>
      </c>
      <c r="C10" t="s">
        <v>44</v>
      </c>
      <c r="D10" t="s">
        <v>39</v>
      </c>
      <c r="E10" t="s">
        <v>22</v>
      </c>
      <c r="F10" s="1">
        <v>18340.7</v>
      </c>
      <c r="G10">
        <v>10</v>
      </c>
      <c r="H10" s="1">
        <v>2901.6</v>
      </c>
      <c r="I10" t="s">
        <v>14</v>
      </c>
      <c r="J10">
        <f>YEAR(Retail_Data[Order_Date])</f>
        <v>2024</v>
      </c>
      <c r="K10" t="str">
        <f>TEXT(Retail_Data[Order_Date],"MMM")</f>
        <v>Dec</v>
      </c>
      <c r="N10" t="s">
        <v>832</v>
      </c>
    </row>
    <row r="11" spans="1:14" x14ac:dyDescent="0.3">
      <c r="A11" t="s">
        <v>45</v>
      </c>
      <c r="B11" t="s">
        <v>46</v>
      </c>
      <c r="C11" t="s">
        <v>38</v>
      </c>
      <c r="D11" t="s">
        <v>39</v>
      </c>
      <c r="E11" t="s">
        <v>27</v>
      </c>
      <c r="F11" s="1">
        <v>24953.27</v>
      </c>
      <c r="G11">
        <v>10</v>
      </c>
      <c r="H11" s="1">
        <v>5674.05</v>
      </c>
      <c r="I11" t="s">
        <v>35</v>
      </c>
      <c r="J11">
        <f>YEAR(Retail_Data[Order_Date])</f>
        <v>2024</v>
      </c>
      <c r="K11" t="str">
        <f>TEXT(Retail_Data[Order_Date],"MMM")</f>
        <v>May</v>
      </c>
      <c r="N11">
        <f>COUNTA(Retail_Data[Order_ID])</f>
        <v>500</v>
      </c>
    </row>
    <row r="12" spans="1:14" x14ac:dyDescent="0.3">
      <c r="A12" t="s">
        <v>47</v>
      </c>
      <c r="B12" t="s">
        <v>48</v>
      </c>
      <c r="C12" t="s">
        <v>49</v>
      </c>
      <c r="D12" t="s">
        <v>12</v>
      </c>
      <c r="E12" t="s">
        <v>22</v>
      </c>
      <c r="F12" s="1">
        <v>20620.689999999999</v>
      </c>
      <c r="G12">
        <v>6</v>
      </c>
      <c r="H12" s="1">
        <v>3173.65</v>
      </c>
      <c r="I12" t="s">
        <v>14</v>
      </c>
      <c r="J12">
        <f>YEAR(Retail_Data[Order_Date])</f>
        <v>2024</v>
      </c>
      <c r="K12" t="str">
        <f>TEXT(Retail_Data[Order_Date],"MMM")</f>
        <v>Oct</v>
      </c>
    </row>
    <row r="13" spans="1:14" x14ac:dyDescent="0.3">
      <c r="A13" t="s">
        <v>50</v>
      </c>
      <c r="B13" t="s">
        <v>51</v>
      </c>
      <c r="C13" t="s">
        <v>21</v>
      </c>
      <c r="D13" t="s">
        <v>18</v>
      </c>
      <c r="E13" t="s">
        <v>13</v>
      </c>
      <c r="F13" s="1">
        <v>27514.26</v>
      </c>
      <c r="G13">
        <v>1</v>
      </c>
      <c r="H13" s="1">
        <v>3017.72</v>
      </c>
      <c r="I13" t="s">
        <v>35</v>
      </c>
      <c r="J13">
        <f>YEAR(Retail_Data[Order_Date])</f>
        <v>2024</v>
      </c>
      <c r="K13" t="str">
        <f>TEXT(Retail_Data[Order_Date],"MMM")</f>
        <v>Apr</v>
      </c>
    </row>
    <row r="14" spans="1:14" x14ac:dyDescent="0.3">
      <c r="A14" t="s">
        <v>52</v>
      </c>
      <c r="B14" t="s">
        <v>53</v>
      </c>
      <c r="C14" t="s">
        <v>54</v>
      </c>
      <c r="D14" t="s">
        <v>18</v>
      </c>
      <c r="E14" t="s">
        <v>22</v>
      </c>
      <c r="F14" s="1">
        <v>20297.150000000001</v>
      </c>
      <c r="G14">
        <v>5</v>
      </c>
      <c r="H14" s="1">
        <v>3372.43</v>
      </c>
      <c r="I14" t="s">
        <v>14</v>
      </c>
      <c r="J14">
        <f>YEAR(Retail_Data[Order_Date])</f>
        <v>2024</v>
      </c>
      <c r="K14" t="str">
        <f>TEXT(Retail_Data[Order_Date],"MMM")</f>
        <v>Sep</v>
      </c>
    </row>
    <row r="15" spans="1:14" x14ac:dyDescent="0.3">
      <c r="A15" t="s">
        <v>55</v>
      </c>
      <c r="B15" t="s">
        <v>56</v>
      </c>
      <c r="C15" t="s">
        <v>26</v>
      </c>
      <c r="D15" t="s">
        <v>12</v>
      </c>
      <c r="E15" t="s">
        <v>57</v>
      </c>
      <c r="F15" s="1">
        <v>25885.51</v>
      </c>
      <c r="G15">
        <v>3</v>
      </c>
      <c r="H15" s="1">
        <v>2650.21</v>
      </c>
      <c r="I15" t="s">
        <v>23</v>
      </c>
      <c r="J15">
        <f>YEAR(Retail_Data[Order_Date])</f>
        <v>2024</v>
      </c>
      <c r="K15" t="str">
        <f>TEXT(Retail_Data[Order_Date],"MMM")</f>
        <v>Nov</v>
      </c>
    </row>
    <row r="16" spans="1:14" x14ac:dyDescent="0.3">
      <c r="A16" t="s">
        <v>58</v>
      </c>
      <c r="B16" t="s">
        <v>59</v>
      </c>
      <c r="C16" t="s">
        <v>38</v>
      </c>
      <c r="D16" t="s">
        <v>39</v>
      </c>
      <c r="E16" t="s">
        <v>27</v>
      </c>
      <c r="F16" s="1">
        <v>22488.57</v>
      </c>
      <c r="G16">
        <v>2</v>
      </c>
      <c r="H16" s="1">
        <v>4093.12</v>
      </c>
      <c r="I16" t="s">
        <v>14</v>
      </c>
      <c r="J16">
        <f>YEAR(Retail_Data[Order_Date])</f>
        <v>2024</v>
      </c>
      <c r="K16" t="str">
        <f>TEXT(Retail_Data[Order_Date],"MMM")</f>
        <v>Aug</v>
      </c>
    </row>
    <row r="17" spans="1:11" x14ac:dyDescent="0.3">
      <c r="A17" t="s">
        <v>60</v>
      </c>
      <c r="B17" t="s">
        <v>61</v>
      </c>
      <c r="C17" t="s">
        <v>62</v>
      </c>
      <c r="D17" t="s">
        <v>34</v>
      </c>
      <c r="E17" t="s">
        <v>13</v>
      </c>
      <c r="F17" s="1">
        <v>14141.7</v>
      </c>
      <c r="G17">
        <v>1</v>
      </c>
      <c r="H17" s="1">
        <v>1185.0899999999999</v>
      </c>
      <c r="I17" t="s">
        <v>14</v>
      </c>
      <c r="J17">
        <f>YEAR(Retail_Data[Order_Date])</f>
        <v>2024</v>
      </c>
      <c r="K17" t="str">
        <f>TEXT(Retail_Data[Order_Date],"MMM")</f>
        <v>Aug</v>
      </c>
    </row>
    <row r="18" spans="1:11" x14ac:dyDescent="0.3">
      <c r="A18" t="s">
        <v>63</v>
      </c>
      <c r="B18" t="s">
        <v>64</v>
      </c>
      <c r="C18" t="s">
        <v>49</v>
      </c>
      <c r="D18" t="s">
        <v>12</v>
      </c>
      <c r="E18" t="s">
        <v>57</v>
      </c>
      <c r="F18" s="1">
        <v>49876.74</v>
      </c>
      <c r="G18">
        <v>8</v>
      </c>
      <c r="H18" s="1">
        <v>7879.42</v>
      </c>
      <c r="I18" t="s">
        <v>14</v>
      </c>
      <c r="J18">
        <f>YEAR(Retail_Data[Order_Date])</f>
        <v>2024</v>
      </c>
      <c r="K18" t="str">
        <f>TEXT(Retail_Data[Order_Date],"MMM")</f>
        <v>Aug</v>
      </c>
    </row>
    <row r="19" spans="1:11" x14ac:dyDescent="0.3">
      <c r="A19" t="s">
        <v>65</v>
      </c>
      <c r="B19" t="s">
        <v>66</v>
      </c>
      <c r="C19" t="s">
        <v>62</v>
      </c>
      <c r="D19" t="s">
        <v>34</v>
      </c>
      <c r="E19" t="s">
        <v>27</v>
      </c>
      <c r="F19" s="1">
        <v>20291.490000000002</v>
      </c>
      <c r="G19">
        <v>8</v>
      </c>
      <c r="H19" s="1">
        <v>2328.34</v>
      </c>
      <c r="I19" t="s">
        <v>23</v>
      </c>
      <c r="J19">
        <f>YEAR(Retail_Data[Order_Date])</f>
        <v>2024</v>
      </c>
      <c r="K19" t="str">
        <f>TEXT(Retail_Data[Order_Date],"MMM")</f>
        <v>Oct</v>
      </c>
    </row>
    <row r="20" spans="1:11" x14ac:dyDescent="0.3">
      <c r="A20" t="s">
        <v>67</v>
      </c>
      <c r="B20" t="s">
        <v>68</v>
      </c>
      <c r="C20" t="s">
        <v>69</v>
      </c>
      <c r="D20" t="s">
        <v>34</v>
      </c>
      <c r="E20" t="s">
        <v>57</v>
      </c>
      <c r="F20" s="1">
        <v>40411.74</v>
      </c>
      <c r="G20">
        <v>2</v>
      </c>
      <c r="H20" s="1">
        <v>6930.33</v>
      </c>
      <c r="I20" t="s">
        <v>14</v>
      </c>
      <c r="J20">
        <f>YEAR(Retail_Data[Order_Date])</f>
        <v>2024</v>
      </c>
      <c r="K20" t="str">
        <f>TEXT(Retail_Data[Order_Date],"MMM")</f>
        <v>Jun</v>
      </c>
    </row>
    <row r="21" spans="1:11" x14ac:dyDescent="0.3">
      <c r="A21" t="s">
        <v>70</v>
      </c>
      <c r="B21" t="s">
        <v>71</v>
      </c>
      <c r="C21" t="s">
        <v>17</v>
      </c>
      <c r="D21" t="s">
        <v>18</v>
      </c>
      <c r="E21" t="s">
        <v>13</v>
      </c>
      <c r="F21" s="1">
        <v>31285.72</v>
      </c>
      <c r="G21">
        <v>2</v>
      </c>
      <c r="H21" s="1">
        <v>7611.28</v>
      </c>
      <c r="I21" t="s">
        <v>23</v>
      </c>
      <c r="J21">
        <f>YEAR(Retail_Data[Order_Date])</f>
        <v>2024</v>
      </c>
      <c r="K21" t="str">
        <f>TEXT(Retail_Data[Order_Date],"MMM")</f>
        <v>May</v>
      </c>
    </row>
    <row r="22" spans="1:11" x14ac:dyDescent="0.3">
      <c r="A22" t="s">
        <v>72</v>
      </c>
      <c r="B22" t="s">
        <v>73</v>
      </c>
      <c r="C22" t="s">
        <v>74</v>
      </c>
      <c r="D22" t="s">
        <v>18</v>
      </c>
      <c r="E22" t="s">
        <v>13</v>
      </c>
      <c r="F22" s="1">
        <v>46478.29</v>
      </c>
      <c r="G22">
        <v>4</v>
      </c>
      <c r="H22" s="1">
        <v>6124.71</v>
      </c>
      <c r="I22" t="s">
        <v>23</v>
      </c>
      <c r="J22">
        <f>YEAR(Retail_Data[Order_Date])</f>
        <v>2024</v>
      </c>
      <c r="K22" t="str">
        <f>TEXT(Retail_Data[Order_Date],"MMM")</f>
        <v>Jan</v>
      </c>
    </row>
    <row r="23" spans="1:11" x14ac:dyDescent="0.3">
      <c r="A23" t="s">
        <v>75</v>
      </c>
      <c r="B23" t="s">
        <v>76</v>
      </c>
      <c r="C23" t="s">
        <v>11</v>
      </c>
      <c r="D23" t="s">
        <v>12</v>
      </c>
      <c r="E23" t="s">
        <v>22</v>
      </c>
      <c r="F23" s="1">
        <v>22952.560000000001</v>
      </c>
      <c r="G23">
        <v>9</v>
      </c>
      <c r="H23" s="1">
        <v>1648.22</v>
      </c>
      <c r="I23" t="s">
        <v>14</v>
      </c>
      <c r="J23">
        <f>YEAR(Retail_Data[Order_Date])</f>
        <v>2024</v>
      </c>
      <c r="K23" t="str">
        <f>TEXT(Retail_Data[Order_Date],"MMM")</f>
        <v>Apr</v>
      </c>
    </row>
    <row r="24" spans="1:11" x14ac:dyDescent="0.3">
      <c r="A24" t="s">
        <v>77</v>
      </c>
      <c r="B24" t="s">
        <v>78</v>
      </c>
      <c r="C24" t="s">
        <v>74</v>
      </c>
      <c r="D24" t="s">
        <v>18</v>
      </c>
      <c r="E24" t="s">
        <v>57</v>
      </c>
      <c r="F24" s="1">
        <v>40490.339999999997</v>
      </c>
      <c r="G24">
        <v>5</v>
      </c>
      <c r="H24" s="1">
        <v>6995.83</v>
      </c>
      <c r="I24" t="s">
        <v>23</v>
      </c>
      <c r="J24">
        <f>YEAR(Retail_Data[Order_Date])</f>
        <v>2024</v>
      </c>
      <c r="K24" t="str">
        <f>TEXT(Retail_Data[Order_Date],"MMM")</f>
        <v>Jun</v>
      </c>
    </row>
    <row r="25" spans="1:11" x14ac:dyDescent="0.3">
      <c r="A25" t="s">
        <v>79</v>
      </c>
      <c r="B25" t="s">
        <v>80</v>
      </c>
      <c r="C25" t="s">
        <v>17</v>
      </c>
      <c r="D25" t="s">
        <v>18</v>
      </c>
      <c r="E25" t="s">
        <v>13</v>
      </c>
      <c r="F25" s="1">
        <v>14449.64</v>
      </c>
      <c r="G25">
        <v>9</v>
      </c>
      <c r="H25" s="1">
        <v>2770.11</v>
      </c>
      <c r="I25" t="s">
        <v>23</v>
      </c>
      <c r="J25">
        <f>YEAR(Retail_Data[Order_Date])</f>
        <v>2024</v>
      </c>
      <c r="K25" t="str">
        <f>TEXT(Retail_Data[Order_Date],"MMM")</f>
        <v>Oct</v>
      </c>
    </row>
    <row r="26" spans="1:11" x14ac:dyDescent="0.3">
      <c r="A26" t="s">
        <v>81</v>
      </c>
      <c r="B26" t="s">
        <v>82</v>
      </c>
      <c r="C26" t="s">
        <v>21</v>
      </c>
      <c r="D26" t="s">
        <v>18</v>
      </c>
      <c r="E26" t="s">
        <v>22</v>
      </c>
      <c r="F26" s="1">
        <v>34068.18</v>
      </c>
      <c r="G26">
        <v>4</v>
      </c>
      <c r="H26" s="1">
        <v>7367.86</v>
      </c>
      <c r="I26" t="s">
        <v>14</v>
      </c>
      <c r="J26">
        <f>YEAR(Retail_Data[Order_Date])</f>
        <v>2024</v>
      </c>
      <c r="K26" t="str">
        <f>TEXT(Retail_Data[Order_Date],"MMM")</f>
        <v>Apr</v>
      </c>
    </row>
    <row r="27" spans="1:11" x14ac:dyDescent="0.3">
      <c r="A27" t="s">
        <v>83</v>
      </c>
      <c r="B27" t="s">
        <v>84</v>
      </c>
      <c r="C27" t="s">
        <v>69</v>
      </c>
      <c r="D27" t="s">
        <v>34</v>
      </c>
      <c r="E27" t="s">
        <v>57</v>
      </c>
      <c r="F27" s="1">
        <v>40078.83</v>
      </c>
      <c r="G27">
        <v>6</v>
      </c>
      <c r="H27" s="1">
        <v>4963.57</v>
      </c>
      <c r="I27" t="s">
        <v>14</v>
      </c>
      <c r="J27">
        <f>YEAR(Retail_Data[Order_Date])</f>
        <v>2024</v>
      </c>
      <c r="K27" t="str">
        <f>TEXT(Retail_Data[Order_Date],"MMM")</f>
        <v>Feb</v>
      </c>
    </row>
    <row r="28" spans="1:11" x14ac:dyDescent="0.3">
      <c r="A28" t="s">
        <v>85</v>
      </c>
      <c r="B28" t="s">
        <v>86</v>
      </c>
      <c r="C28" t="s">
        <v>17</v>
      </c>
      <c r="D28" t="s">
        <v>18</v>
      </c>
      <c r="E28" t="s">
        <v>27</v>
      </c>
      <c r="F28" s="1">
        <v>20202.96</v>
      </c>
      <c r="G28">
        <v>8</v>
      </c>
      <c r="H28" s="1">
        <v>4173.3599999999997</v>
      </c>
      <c r="I28" t="s">
        <v>14</v>
      </c>
      <c r="J28">
        <f>YEAR(Retail_Data[Order_Date])</f>
        <v>2024</v>
      </c>
      <c r="K28" t="str">
        <f>TEXT(Retail_Data[Order_Date],"MMM")</f>
        <v>Mar</v>
      </c>
    </row>
    <row r="29" spans="1:11" x14ac:dyDescent="0.3">
      <c r="A29" t="s">
        <v>87</v>
      </c>
      <c r="B29" t="s">
        <v>88</v>
      </c>
      <c r="C29" t="s">
        <v>17</v>
      </c>
      <c r="D29" t="s">
        <v>18</v>
      </c>
      <c r="E29" t="s">
        <v>27</v>
      </c>
      <c r="F29" s="1">
        <v>37055.83</v>
      </c>
      <c r="G29">
        <v>10</v>
      </c>
      <c r="H29" s="1">
        <v>2372.67</v>
      </c>
      <c r="I29" t="s">
        <v>23</v>
      </c>
      <c r="J29">
        <f>YEAR(Retail_Data[Order_Date])</f>
        <v>2024</v>
      </c>
      <c r="K29" t="str">
        <f>TEXT(Retail_Data[Order_Date],"MMM")</f>
        <v>Aug</v>
      </c>
    </row>
    <row r="30" spans="1:11" x14ac:dyDescent="0.3">
      <c r="A30" t="s">
        <v>89</v>
      </c>
      <c r="B30" t="s">
        <v>90</v>
      </c>
      <c r="C30" t="s">
        <v>17</v>
      </c>
      <c r="D30" t="s">
        <v>18</v>
      </c>
      <c r="E30" t="s">
        <v>27</v>
      </c>
      <c r="F30" s="1">
        <v>5902.44</v>
      </c>
      <c r="G30">
        <v>1</v>
      </c>
      <c r="H30" s="1">
        <v>843.14</v>
      </c>
      <c r="I30" t="s">
        <v>35</v>
      </c>
      <c r="J30">
        <f>YEAR(Retail_Data[Order_Date])</f>
        <v>2024</v>
      </c>
      <c r="K30" t="str">
        <f>TEXT(Retail_Data[Order_Date],"MMM")</f>
        <v>Aug</v>
      </c>
    </row>
    <row r="31" spans="1:11" x14ac:dyDescent="0.3">
      <c r="A31" t="s">
        <v>91</v>
      </c>
      <c r="B31" t="s">
        <v>92</v>
      </c>
      <c r="C31" t="s">
        <v>93</v>
      </c>
      <c r="D31" t="s">
        <v>39</v>
      </c>
      <c r="E31" t="s">
        <v>13</v>
      </c>
      <c r="F31" s="1">
        <v>40902.269999999997</v>
      </c>
      <c r="G31">
        <v>6</v>
      </c>
      <c r="H31" s="1">
        <v>10017.68</v>
      </c>
      <c r="I31" t="s">
        <v>14</v>
      </c>
      <c r="J31">
        <f>YEAR(Retail_Data[Order_Date])</f>
        <v>2024</v>
      </c>
      <c r="K31" t="str">
        <f>TEXT(Retail_Data[Order_Date],"MMM")</f>
        <v>Oct</v>
      </c>
    </row>
    <row r="32" spans="1:11" x14ac:dyDescent="0.3">
      <c r="A32" t="s">
        <v>94</v>
      </c>
      <c r="B32" t="s">
        <v>84</v>
      </c>
      <c r="C32" t="s">
        <v>30</v>
      </c>
      <c r="D32" t="s">
        <v>12</v>
      </c>
      <c r="E32" t="s">
        <v>57</v>
      </c>
      <c r="F32" s="1">
        <v>9084.7999999999993</v>
      </c>
      <c r="G32">
        <v>7</v>
      </c>
      <c r="H32" s="1">
        <v>1248.1199999999999</v>
      </c>
      <c r="I32" t="s">
        <v>35</v>
      </c>
      <c r="J32">
        <f>YEAR(Retail_Data[Order_Date])</f>
        <v>2024</v>
      </c>
      <c r="K32" t="str">
        <f>TEXT(Retail_Data[Order_Date],"MMM")</f>
        <v>Feb</v>
      </c>
    </row>
    <row r="33" spans="1:11" x14ac:dyDescent="0.3">
      <c r="A33" t="s">
        <v>95</v>
      </c>
      <c r="B33" t="s">
        <v>96</v>
      </c>
      <c r="C33" t="s">
        <v>33</v>
      </c>
      <c r="D33" t="s">
        <v>34</v>
      </c>
      <c r="E33" t="s">
        <v>27</v>
      </c>
      <c r="F33" s="1">
        <v>38185.89</v>
      </c>
      <c r="G33">
        <v>8</v>
      </c>
      <c r="H33" s="1">
        <v>5364.33</v>
      </c>
      <c r="I33" t="s">
        <v>35</v>
      </c>
      <c r="J33">
        <f>YEAR(Retail_Data[Order_Date])</f>
        <v>2024</v>
      </c>
      <c r="K33" t="str">
        <f>TEXT(Retail_Data[Order_Date],"MMM")</f>
        <v>Nov</v>
      </c>
    </row>
    <row r="34" spans="1:11" x14ac:dyDescent="0.3">
      <c r="A34" t="s">
        <v>97</v>
      </c>
      <c r="B34" t="s">
        <v>98</v>
      </c>
      <c r="C34" t="s">
        <v>54</v>
      </c>
      <c r="D34" t="s">
        <v>18</v>
      </c>
      <c r="E34" t="s">
        <v>13</v>
      </c>
      <c r="F34" s="1">
        <v>9983</v>
      </c>
      <c r="G34">
        <v>5</v>
      </c>
      <c r="H34" s="1">
        <v>2032.5</v>
      </c>
      <c r="I34" t="s">
        <v>14</v>
      </c>
      <c r="J34">
        <f>YEAR(Retail_Data[Order_Date])</f>
        <v>2024</v>
      </c>
      <c r="K34" t="str">
        <f>TEXT(Retail_Data[Order_Date],"MMM")</f>
        <v>Jul</v>
      </c>
    </row>
    <row r="35" spans="1:11" x14ac:dyDescent="0.3">
      <c r="A35" t="s">
        <v>99</v>
      </c>
      <c r="B35" t="s">
        <v>100</v>
      </c>
      <c r="C35" t="s">
        <v>21</v>
      </c>
      <c r="D35" t="s">
        <v>18</v>
      </c>
      <c r="E35" t="s">
        <v>22</v>
      </c>
      <c r="F35" s="1">
        <v>26027.22</v>
      </c>
      <c r="G35">
        <v>5</v>
      </c>
      <c r="H35" s="1">
        <v>2440.4499999999998</v>
      </c>
      <c r="I35" t="s">
        <v>23</v>
      </c>
      <c r="J35">
        <f>YEAR(Retail_Data[Order_Date])</f>
        <v>2024</v>
      </c>
      <c r="K35" t="str">
        <f>TEXT(Retail_Data[Order_Date],"MMM")</f>
        <v>Sep</v>
      </c>
    </row>
    <row r="36" spans="1:11" x14ac:dyDescent="0.3">
      <c r="A36" t="s">
        <v>101</v>
      </c>
      <c r="B36" t="s">
        <v>102</v>
      </c>
      <c r="C36" t="s">
        <v>33</v>
      </c>
      <c r="D36" t="s">
        <v>34</v>
      </c>
      <c r="E36" t="s">
        <v>27</v>
      </c>
      <c r="F36" s="1">
        <v>39299.629999999997</v>
      </c>
      <c r="G36">
        <v>5</v>
      </c>
      <c r="H36" s="1">
        <v>4664.74</v>
      </c>
      <c r="I36" t="s">
        <v>23</v>
      </c>
      <c r="J36">
        <f>YEAR(Retail_Data[Order_Date])</f>
        <v>2024</v>
      </c>
      <c r="K36" t="str">
        <f>TEXT(Retail_Data[Order_Date],"MMM")</f>
        <v>Mar</v>
      </c>
    </row>
    <row r="37" spans="1:11" x14ac:dyDescent="0.3">
      <c r="A37" t="s">
        <v>103</v>
      </c>
      <c r="B37" t="s">
        <v>104</v>
      </c>
      <c r="C37" t="s">
        <v>44</v>
      </c>
      <c r="D37" t="s">
        <v>39</v>
      </c>
      <c r="E37" t="s">
        <v>27</v>
      </c>
      <c r="F37" s="1">
        <v>47349.61</v>
      </c>
      <c r="G37">
        <v>6</v>
      </c>
      <c r="H37" s="1">
        <v>6245.86</v>
      </c>
      <c r="I37" t="s">
        <v>35</v>
      </c>
      <c r="J37">
        <f>YEAR(Retail_Data[Order_Date])</f>
        <v>2024</v>
      </c>
      <c r="K37" t="str">
        <f>TEXT(Retail_Data[Order_Date],"MMM")</f>
        <v>Dec</v>
      </c>
    </row>
    <row r="38" spans="1:11" x14ac:dyDescent="0.3">
      <c r="A38" t="s">
        <v>105</v>
      </c>
      <c r="B38" t="s">
        <v>106</v>
      </c>
      <c r="C38" t="s">
        <v>11</v>
      </c>
      <c r="D38" t="s">
        <v>12</v>
      </c>
      <c r="E38" t="s">
        <v>13</v>
      </c>
      <c r="F38" s="1">
        <v>27499.58</v>
      </c>
      <c r="G38">
        <v>7</v>
      </c>
      <c r="H38" s="1">
        <v>6335.3</v>
      </c>
      <c r="I38" t="s">
        <v>35</v>
      </c>
      <c r="J38">
        <f>YEAR(Retail_Data[Order_Date])</f>
        <v>2024</v>
      </c>
      <c r="K38" t="str">
        <f>TEXT(Retail_Data[Order_Date],"MMM")</f>
        <v>Nov</v>
      </c>
    </row>
    <row r="39" spans="1:11" x14ac:dyDescent="0.3">
      <c r="A39" t="s">
        <v>107</v>
      </c>
      <c r="B39" t="s">
        <v>108</v>
      </c>
      <c r="C39" t="s">
        <v>109</v>
      </c>
      <c r="D39" t="s">
        <v>34</v>
      </c>
      <c r="E39" t="s">
        <v>57</v>
      </c>
      <c r="F39" s="1">
        <v>10750.2</v>
      </c>
      <c r="G39">
        <v>9</v>
      </c>
      <c r="H39" s="1">
        <v>1250.71</v>
      </c>
      <c r="I39" t="s">
        <v>23</v>
      </c>
      <c r="J39">
        <f>YEAR(Retail_Data[Order_Date])</f>
        <v>2024</v>
      </c>
      <c r="K39" t="str">
        <f>TEXT(Retail_Data[Order_Date],"MMM")</f>
        <v>Feb</v>
      </c>
    </row>
    <row r="40" spans="1:11" x14ac:dyDescent="0.3">
      <c r="A40" t="s">
        <v>110</v>
      </c>
      <c r="B40" t="s">
        <v>111</v>
      </c>
      <c r="C40" t="s">
        <v>17</v>
      </c>
      <c r="D40" t="s">
        <v>18</v>
      </c>
      <c r="E40" t="s">
        <v>13</v>
      </c>
      <c r="F40" s="1">
        <v>6942.01</v>
      </c>
      <c r="G40">
        <v>3</v>
      </c>
      <c r="H40" s="1">
        <v>1650.5</v>
      </c>
      <c r="I40" t="s">
        <v>23</v>
      </c>
      <c r="J40">
        <f>YEAR(Retail_Data[Order_Date])</f>
        <v>2024</v>
      </c>
      <c r="K40" t="str">
        <f>TEXT(Retail_Data[Order_Date],"MMM")</f>
        <v>Jan</v>
      </c>
    </row>
    <row r="41" spans="1:11" x14ac:dyDescent="0.3">
      <c r="A41" t="s">
        <v>112</v>
      </c>
      <c r="B41" t="s">
        <v>113</v>
      </c>
      <c r="C41" t="s">
        <v>62</v>
      </c>
      <c r="D41" t="s">
        <v>34</v>
      </c>
      <c r="E41" t="s">
        <v>22</v>
      </c>
      <c r="F41" s="1">
        <v>42379.08</v>
      </c>
      <c r="G41">
        <v>10</v>
      </c>
      <c r="H41" s="1">
        <v>7481.4</v>
      </c>
      <c r="I41" t="s">
        <v>14</v>
      </c>
      <c r="J41">
        <f>YEAR(Retail_Data[Order_Date])</f>
        <v>2024</v>
      </c>
      <c r="K41" t="str">
        <f>TEXT(Retail_Data[Order_Date],"MMM")</f>
        <v>Jan</v>
      </c>
    </row>
    <row r="42" spans="1:11" x14ac:dyDescent="0.3">
      <c r="A42" t="s">
        <v>114</v>
      </c>
      <c r="B42" t="s">
        <v>115</v>
      </c>
      <c r="C42" t="s">
        <v>30</v>
      </c>
      <c r="D42" t="s">
        <v>12</v>
      </c>
      <c r="E42" t="s">
        <v>27</v>
      </c>
      <c r="F42" s="1">
        <v>3956.79</v>
      </c>
      <c r="G42">
        <v>7</v>
      </c>
      <c r="H42" s="1">
        <v>297.41000000000003</v>
      </c>
      <c r="I42" t="s">
        <v>14</v>
      </c>
      <c r="J42">
        <f>YEAR(Retail_Data[Order_Date])</f>
        <v>2024</v>
      </c>
      <c r="K42" t="str">
        <f>TEXT(Retail_Data[Order_Date],"MMM")</f>
        <v>Apr</v>
      </c>
    </row>
    <row r="43" spans="1:11" x14ac:dyDescent="0.3">
      <c r="A43" t="s">
        <v>116</v>
      </c>
      <c r="B43" t="s">
        <v>117</v>
      </c>
      <c r="C43" t="s">
        <v>54</v>
      </c>
      <c r="D43" t="s">
        <v>18</v>
      </c>
      <c r="E43" t="s">
        <v>57</v>
      </c>
      <c r="F43" s="1">
        <v>10268.120000000001</v>
      </c>
      <c r="G43">
        <v>3</v>
      </c>
      <c r="H43" s="1">
        <v>2175.75</v>
      </c>
      <c r="I43" t="s">
        <v>14</v>
      </c>
      <c r="J43">
        <f>YEAR(Retail_Data[Order_Date])</f>
        <v>2024</v>
      </c>
      <c r="K43" t="str">
        <f>TEXT(Retail_Data[Order_Date],"MMM")</f>
        <v>Jul</v>
      </c>
    </row>
    <row r="44" spans="1:11" x14ac:dyDescent="0.3">
      <c r="A44" t="s">
        <v>118</v>
      </c>
      <c r="B44" t="s">
        <v>119</v>
      </c>
      <c r="C44" t="s">
        <v>33</v>
      </c>
      <c r="D44" t="s">
        <v>34</v>
      </c>
      <c r="E44" t="s">
        <v>27</v>
      </c>
      <c r="F44" s="1">
        <v>27227.7</v>
      </c>
      <c r="G44">
        <v>2</v>
      </c>
      <c r="H44" s="1">
        <v>4684.2299999999996</v>
      </c>
      <c r="I44" t="s">
        <v>23</v>
      </c>
      <c r="J44">
        <f>YEAR(Retail_Data[Order_Date])</f>
        <v>2024</v>
      </c>
      <c r="K44" t="str">
        <f>TEXT(Retail_Data[Order_Date],"MMM")</f>
        <v>Feb</v>
      </c>
    </row>
    <row r="45" spans="1:11" x14ac:dyDescent="0.3">
      <c r="A45" t="s">
        <v>120</v>
      </c>
      <c r="B45" t="s">
        <v>121</v>
      </c>
      <c r="C45" t="s">
        <v>44</v>
      </c>
      <c r="D45" t="s">
        <v>39</v>
      </c>
      <c r="E45" t="s">
        <v>22</v>
      </c>
      <c r="F45" s="1">
        <v>48488.61</v>
      </c>
      <c r="G45">
        <v>4</v>
      </c>
      <c r="H45" s="1">
        <v>10036.700000000001</v>
      </c>
      <c r="I45" t="s">
        <v>23</v>
      </c>
      <c r="J45">
        <f>YEAR(Retail_Data[Order_Date])</f>
        <v>2024</v>
      </c>
      <c r="K45" t="str">
        <f>TEXT(Retail_Data[Order_Date],"MMM")</f>
        <v>Feb</v>
      </c>
    </row>
    <row r="46" spans="1:11" x14ac:dyDescent="0.3">
      <c r="A46" t="s">
        <v>122</v>
      </c>
      <c r="B46" t="s">
        <v>123</v>
      </c>
      <c r="C46" t="s">
        <v>49</v>
      </c>
      <c r="D46" t="s">
        <v>12</v>
      </c>
      <c r="E46" t="s">
        <v>22</v>
      </c>
      <c r="F46" s="1">
        <v>21912.25</v>
      </c>
      <c r="G46">
        <v>2</v>
      </c>
      <c r="H46" s="1">
        <v>1503.57</v>
      </c>
      <c r="I46" t="s">
        <v>23</v>
      </c>
      <c r="J46">
        <f>YEAR(Retail_Data[Order_Date])</f>
        <v>2024</v>
      </c>
      <c r="K46" t="str">
        <f>TEXT(Retail_Data[Order_Date],"MMM")</f>
        <v>Jul</v>
      </c>
    </row>
    <row r="47" spans="1:11" x14ac:dyDescent="0.3">
      <c r="A47" t="s">
        <v>124</v>
      </c>
      <c r="B47" t="s">
        <v>125</v>
      </c>
      <c r="C47" t="s">
        <v>74</v>
      </c>
      <c r="D47" t="s">
        <v>18</v>
      </c>
      <c r="E47" t="s">
        <v>13</v>
      </c>
      <c r="F47" s="1">
        <v>37579.9</v>
      </c>
      <c r="G47">
        <v>9</v>
      </c>
      <c r="H47" s="1">
        <v>5233.38</v>
      </c>
      <c r="I47" t="s">
        <v>35</v>
      </c>
      <c r="J47">
        <f>YEAR(Retail_Data[Order_Date])</f>
        <v>2024</v>
      </c>
      <c r="K47" t="str">
        <f>TEXT(Retail_Data[Order_Date],"MMM")</f>
        <v>Nov</v>
      </c>
    </row>
    <row r="48" spans="1:11" x14ac:dyDescent="0.3">
      <c r="A48" t="s">
        <v>126</v>
      </c>
      <c r="B48" t="s">
        <v>127</v>
      </c>
      <c r="C48" t="s">
        <v>69</v>
      </c>
      <c r="D48" t="s">
        <v>34</v>
      </c>
      <c r="E48" t="s">
        <v>27</v>
      </c>
      <c r="F48" s="1">
        <v>45122.89</v>
      </c>
      <c r="G48">
        <v>8</v>
      </c>
      <c r="H48" s="1">
        <v>3978.27</v>
      </c>
      <c r="I48" t="s">
        <v>14</v>
      </c>
      <c r="J48">
        <f>YEAR(Retail_Data[Order_Date])</f>
        <v>2024</v>
      </c>
      <c r="K48" t="str">
        <f>TEXT(Retail_Data[Order_Date],"MMM")</f>
        <v>Jan</v>
      </c>
    </row>
    <row r="49" spans="1:11" x14ac:dyDescent="0.3">
      <c r="A49" t="s">
        <v>128</v>
      </c>
      <c r="B49" t="s">
        <v>46</v>
      </c>
      <c r="C49" t="s">
        <v>93</v>
      </c>
      <c r="D49" t="s">
        <v>39</v>
      </c>
      <c r="E49" t="s">
        <v>13</v>
      </c>
      <c r="F49" s="1">
        <v>46535.92</v>
      </c>
      <c r="G49">
        <v>1</v>
      </c>
      <c r="H49" s="1">
        <v>2329.81</v>
      </c>
      <c r="I49" t="s">
        <v>23</v>
      </c>
      <c r="J49">
        <f>YEAR(Retail_Data[Order_Date])</f>
        <v>2024</v>
      </c>
      <c r="K49" t="str">
        <f>TEXT(Retail_Data[Order_Date],"MMM")</f>
        <v>May</v>
      </c>
    </row>
    <row r="50" spans="1:11" x14ac:dyDescent="0.3">
      <c r="A50" t="s">
        <v>129</v>
      </c>
      <c r="B50" t="s">
        <v>130</v>
      </c>
      <c r="C50" t="s">
        <v>11</v>
      </c>
      <c r="D50" t="s">
        <v>12</v>
      </c>
      <c r="E50" t="s">
        <v>27</v>
      </c>
      <c r="F50" s="1">
        <v>17634.27</v>
      </c>
      <c r="G50">
        <v>3</v>
      </c>
      <c r="H50" s="1">
        <v>1654.93</v>
      </c>
      <c r="I50" t="s">
        <v>35</v>
      </c>
      <c r="J50">
        <f>YEAR(Retail_Data[Order_Date])</f>
        <v>2024</v>
      </c>
      <c r="K50" t="str">
        <f>TEXT(Retail_Data[Order_Date],"MMM")</f>
        <v>Feb</v>
      </c>
    </row>
    <row r="51" spans="1:11" x14ac:dyDescent="0.3">
      <c r="A51" t="s">
        <v>131</v>
      </c>
      <c r="B51" t="s">
        <v>132</v>
      </c>
      <c r="C51" t="s">
        <v>44</v>
      </c>
      <c r="D51" t="s">
        <v>39</v>
      </c>
      <c r="E51" t="s">
        <v>27</v>
      </c>
      <c r="F51" s="1">
        <v>41207.32</v>
      </c>
      <c r="G51">
        <v>4</v>
      </c>
      <c r="H51" s="1">
        <v>7936.25</v>
      </c>
      <c r="I51" t="s">
        <v>14</v>
      </c>
      <c r="J51">
        <f>YEAR(Retail_Data[Order_Date])</f>
        <v>2024</v>
      </c>
      <c r="K51" t="str">
        <f>TEXT(Retail_Data[Order_Date],"MMM")</f>
        <v>Sep</v>
      </c>
    </row>
    <row r="52" spans="1:11" x14ac:dyDescent="0.3">
      <c r="A52" t="s">
        <v>133</v>
      </c>
      <c r="B52" t="s">
        <v>134</v>
      </c>
      <c r="C52" t="s">
        <v>109</v>
      </c>
      <c r="D52" t="s">
        <v>34</v>
      </c>
      <c r="E52" t="s">
        <v>27</v>
      </c>
      <c r="F52" s="1">
        <v>24863.85</v>
      </c>
      <c r="G52">
        <v>7</v>
      </c>
      <c r="H52" s="1">
        <v>5603.45</v>
      </c>
      <c r="I52" t="s">
        <v>23</v>
      </c>
      <c r="J52">
        <f>YEAR(Retail_Data[Order_Date])</f>
        <v>2024</v>
      </c>
      <c r="K52" t="str">
        <f>TEXT(Retail_Data[Order_Date],"MMM")</f>
        <v>May</v>
      </c>
    </row>
    <row r="53" spans="1:11" x14ac:dyDescent="0.3">
      <c r="A53" t="s">
        <v>135</v>
      </c>
      <c r="B53" t="s">
        <v>136</v>
      </c>
      <c r="C53" t="s">
        <v>38</v>
      </c>
      <c r="D53" t="s">
        <v>39</v>
      </c>
      <c r="E53" t="s">
        <v>13</v>
      </c>
      <c r="F53" s="1">
        <v>45713.54</v>
      </c>
      <c r="G53">
        <v>1</v>
      </c>
      <c r="H53" s="1">
        <v>8619.18</v>
      </c>
      <c r="I53" t="s">
        <v>14</v>
      </c>
      <c r="J53">
        <f>YEAR(Retail_Data[Order_Date])</f>
        <v>2024</v>
      </c>
      <c r="K53" t="str">
        <f>TEXT(Retail_Data[Order_Date],"MMM")</f>
        <v>Dec</v>
      </c>
    </row>
    <row r="54" spans="1:11" x14ac:dyDescent="0.3">
      <c r="A54" t="s">
        <v>137</v>
      </c>
      <c r="B54" t="s">
        <v>138</v>
      </c>
      <c r="C54" t="s">
        <v>26</v>
      </c>
      <c r="D54" t="s">
        <v>12</v>
      </c>
      <c r="E54" t="s">
        <v>27</v>
      </c>
      <c r="F54" s="1">
        <v>13558.74</v>
      </c>
      <c r="G54">
        <v>9</v>
      </c>
      <c r="H54" s="1">
        <v>2818.1</v>
      </c>
      <c r="I54" t="s">
        <v>23</v>
      </c>
      <c r="J54">
        <f>YEAR(Retail_Data[Order_Date])</f>
        <v>2024</v>
      </c>
      <c r="K54" t="str">
        <f>TEXT(Retail_Data[Order_Date],"MMM")</f>
        <v>Mar</v>
      </c>
    </row>
    <row r="55" spans="1:11" x14ac:dyDescent="0.3">
      <c r="A55" t="s">
        <v>139</v>
      </c>
      <c r="B55" t="s">
        <v>140</v>
      </c>
      <c r="C55" t="s">
        <v>141</v>
      </c>
      <c r="D55" t="s">
        <v>39</v>
      </c>
      <c r="E55" t="s">
        <v>57</v>
      </c>
      <c r="F55" s="1">
        <v>16749.7</v>
      </c>
      <c r="G55">
        <v>2</v>
      </c>
      <c r="H55" s="1">
        <v>1412.34</v>
      </c>
      <c r="I55" t="s">
        <v>35</v>
      </c>
      <c r="J55">
        <f>YEAR(Retail_Data[Order_Date])</f>
        <v>2024</v>
      </c>
      <c r="K55" t="str">
        <f>TEXT(Retail_Data[Order_Date],"MMM")</f>
        <v>Nov</v>
      </c>
    </row>
    <row r="56" spans="1:11" x14ac:dyDescent="0.3">
      <c r="A56" t="s">
        <v>142</v>
      </c>
      <c r="B56" t="s">
        <v>143</v>
      </c>
      <c r="C56" t="s">
        <v>30</v>
      </c>
      <c r="D56" t="s">
        <v>12</v>
      </c>
      <c r="E56" t="s">
        <v>57</v>
      </c>
      <c r="F56" s="1">
        <v>3425.77</v>
      </c>
      <c r="G56">
        <v>9</v>
      </c>
      <c r="H56" s="1">
        <v>371.01</v>
      </c>
      <c r="I56" t="s">
        <v>35</v>
      </c>
      <c r="J56">
        <f>YEAR(Retail_Data[Order_Date])</f>
        <v>2024</v>
      </c>
      <c r="K56" t="str">
        <f>TEXT(Retail_Data[Order_Date],"MMM")</f>
        <v>Nov</v>
      </c>
    </row>
    <row r="57" spans="1:11" x14ac:dyDescent="0.3">
      <c r="A57" t="s">
        <v>144</v>
      </c>
      <c r="B57" t="s">
        <v>145</v>
      </c>
      <c r="C57" t="s">
        <v>33</v>
      </c>
      <c r="D57" t="s">
        <v>34</v>
      </c>
      <c r="E57" t="s">
        <v>27</v>
      </c>
      <c r="F57" s="1">
        <v>11167.17</v>
      </c>
      <c r="G57">
        <v>2</v>
      </c>
      <c r="H57" s="1">
        <v>1851.49</v>
      </c>
      <c r="I57" t="s">
        <v>23</v>
      </c>
      <c r="J57">
        <f>YEAR(Retail_Data[Order_Date])</f>
        <v>2024</v>
      </c>
      <c r="K57" t="str">
        <f>TEXT(Retail_Data[Order_Date],"MMM")</f>
        <v>May</v>
      </c>
    </row>
    <row r="58" spans="1:11" x14ac:dyDescent="0.3">
      <c r="A58" t="s">
        <v>146</v>
      </c>
      <c r="B58" t="s">
        <v>46</v>
      </c>
      <c r="C58" t="s">
        <v>44</v>
      </c>
      <c r="D58" t="s">
        <v>39</v>
      </c>
      <c r="E58" t="s">
        <v>13</v>
      </c>
      <c r="F58" s="1">
        <v>10255.77</v>
      </c>
      <c r="G58">
        <v>10</v>
      </c>
      <c r="H58" s="1">
        <v>1557.45</v>
      </c>
      <c r="I58" t="s">
        <v>23</v>
      </c>
      <c r="J58">
        <f>YEAR(Retail_Data[Order_Date])</f>
        <v>2024</v>
      </c>
      <c r="K58" t="str">
        <f>TEXT(Retail_Data[Order_Date],"MMM")</f>
        <v>May</v>
      </c>
    </row>
    <row r="59" spans="1:11" x14ac:dyDescent="0.3">
      <c r="A59" t="s">
        <v>147</v>
      </c>
      <c r="B59" t="s">
        <v>148</v>
      </c>
      <c r="C59" t="s">
        <v>109</v>
      </c>
      <c r="D59" t="s">
        <v>34</v>
      </c>
      <c r="E59" t="s">
        <v>27</v>
      </c>
      <c r="F59" s="1">
        <v>18562.97</v>
      </c>
      <c r="G59">
        <v>8</v>
      </c>
      <c r="H59" s="1">
        <v>2232.91</v>
      </c>
      <c r="I59" t="s">
        <v>35</v>
      </c>
      <c r="J59">
        <f>YEAR(Retail_Data[Order_Date])</f>
        <v>2024</v>
      </c>
      <c r="K59" t="str">
        <f>TEXT(Retail_Data[Order_Date],"MMM")</f>
        <v>Dec</v>
      </c>
    </row>
    <row r="60" spans="1:11" x14ac:dyDescent="0.3">
      <c r="A60" t="s">
        <v>149</v>
      </c>
      <c r="B60" t="s">
        <v>150</v>
      </c>
      <c r="C60" t="s">
        <v>38</v>
      </c>
      <c r="D60" t="s">
        <v>39</v>
      </c>
      <c r="E60" t="s">
        <v>57</v>
      </c>
      <c r="F60" s="1">
        <v>10925.16</v>
      </c>
      <c r="G60">
        <v>5</v>
      </c>
      <c r="H60" s="1">
        <v>2011.31</v>
      </c>
      <c r="I60" t="s">
        <v>35</v>
      </c>
      <c r="J60">
        <f>YEAR(Retail_Data[Order_Date])</f>
        <v>2024</v>
      </c>
      <c r="K60" t="str">
        <f>TEXT(Retail_Data[Order_Date],"MMM")</f>
        <v>Jan</v>
      </c>
    </row>
    <row r="61" spans="1:11" x14ac:dyDescent="0.3">
      <c r="A61" t="s">
        <v>151</v>
      </c>
      <c r="B61" t="s">
        <v>117</v>
      </c>
      <c r="C61" t="s">
        <v>11</v>
      </c>
      <c r="D61" t="s">
        <v>12</v>
      </c>
      <c r="E61" t="s">
        <v>13</v>
      </c>
      <c r="F61" s="1">
        <v>31899.279999999999</v>
      </c>
      <c r="G61">
        <v>1</v>
      </c>
      <c r="H61" s="1">
        <v>6060.65</v>
      </c>
      <c r="I61" t="s">
        <v>35</v>
      </c>
      <c r="J61">
        <f>YEAR(Retail_Data[Order_Date])</f>
        <v>2024</v>
      </c>
      <c r="K61" t="str">
        <f>TEXT(Retail_Data[Order_Date],"MMM")</f>
        <v>Jul</v>
      </c>
    </row>
    <row r="62" spans="1:11" x14ac:dyDescent="0.3">
      <c r="A62" t="s">
        <v>152</v>
      </c>
      <c r="B62" t="s">
        <v>127</v>
      </c>
      <c r="C62" t="s">
        <v>44</v>
      </c>
      <c r="D62" t="s">
        <v>39</v>
      </c>
      <c r="E62" t="s">
        <v>13</v>
      </c>
      <c r="F62" s="1">
        <v>47692.94</v>
      </c>
      <c r="G62">
        <v>4</v>
      </c>
      <c r="H62" s="1">
        <v>8829.73</v>
      </c>
      <c r="I62" t="s">
        <v>23</v>
      </c>
      <c r="J62">
        <f>YEAR(Retail_Data[Order_Date])</f>
        <v>2024</v>
      </c>
      <c r="K62" t="str">
        <f>TEXT(Retail_Data[Order_Date],"MMM")</f>
        <v>Jan</v>
      </c>
    </row>
    <row r="63" spans="1:11" x14ac:dyDescent="0.3">
      <c r="A63" t="s">
        <v>153</v>
      </c>
      <c r="B63" t="s">
        <v>154</v>
      </c>
      <c r="C63" t="s">
        <v>54</v>
      </c>
      <c r="D63" t="s">
        <v>18</v>
      </c>
      <c r="E63" t="s">
        <v>27</v>
      </c>
      <c r="F63" s="1">
        <v>5044.38</v>
      </c>
      <c r="G63">
        <v>7</v>
      </c>
      <c r="H63" s="1">
        <v>1147.4000000000001</v>
      </c>
      <c r="I63" t="s">
        <v>35</v>
      </c>
      <c r="J63">
        <f>YEAR(Retail_Data[Order_Date])</f>
        <v>2024</v>
      </c>
      <c r="K63" t="str">
        <f>TEXT(Retail_Data[Order_Date],"MMM")</f>
        <v>Jan</v>
      </c>
    </row>
    <row r="64" spans="1:11" x14ac:dyDescent="0.3">
      <c r="A64" t="s">
        <v>155</v>
      </c>
      <c r="B64" t="s">
        <v>156</v>
      </c>
      <c r="C64" t="s">
        <v>62</v>
      </c>
      <c r="D64" t="s">
        <v>34</v>
      </c>
      <c r="E64" t="s">
        <v>57</v>
      </c>
      <c r="F64" s="1">
        <v>4299.87</v>
      </c>
      <c r="G64">
        <v>2</v>
      </c>
      <c r="H64" s="1">
        <v>318.54000000000002</v>
      </c>
      <c r="I64" t="s">
        <v>35</v>
      </c>
      <c r="J64">
        <f>YEAR(Retail_Data[Order_Date])</f>
        <v>2024</v>
      </c>
      <c r="K64" t="str">
        <f>TEXT(Retail_Data[Order_Date],"MMM")</f>
        <v>Aug</v>
      </c>
    </row>
    <row r="65" spans="1:11" x14ac:dyDescent="0.3">
      <c r="A65" t="s">
        <v>157</v>
      </c>
      <c r="B65" t="s">
        <v>158</v>
      </c>
      <c r="C65" t="s">
        <v>69</v>
      </c>
      <c r="D65" t="s">
        <v>34</v>
      </c>
      <c r="E65" t="s">
        <v>13</v>
      </c>
      <c r="F65" s="1">
        <v>5782.45</v>
      </c>
      <c r="G65">
        <v>2</v>
      </c>
      <c r="H65" s="1">
        <v>307.07</v>
      </c>
      <c r="I65" t="s">
        <v>23</v>
      </c>
      <c r="J65">
        <f>YEAR(Retail_Data[Order_Date])</f>
        <v>2024</v>
      </c>
      <c r="K65" t="str">
        <f>TEXT(Retail_Data[Order_Date],"MMM")</f>
        <v>Jul</v>
      </c>
    </row>
    <row r="66" spans="1:11" x14ac:dyDescent="0.3">
      <c r="A66" t="s">
        <v>159</v>
      </c>
      <c r="B66" t="s">
        <v>160</v>
      </c>
      <c r="C66" t="s">
        <v>21</v>
      </c>
      <c r="D66" t="s">
        <v>18</v>
      </c>
      <c r="E66" t="s">
        <v>57</v>
      </c>
      <c r="F66" s="1">
        <v>18528.03</v>
      </c>
      <c r="G66">
        <v>1</v>
      </c>
      <c r="H66" s="1">
        <v>4312.1899999999996</v>
      </c>
      <c r="I66" t="s">
        <v>35</v>
      </c>
      <c r="J66">
        <f>YEAR(Retail_Data[Order_Date])</f>
        <v>2024</v>
      </c>
      <c r="K66" t="str">
        <f>TEXT(Retail_Data[Order_Date],"MMM")</f>
        <v>May</v>
      </c>
    </row>
    <row r="67" spans="1:11" x14ac:dyDescent="0.3">
      <c r="A67" t="s">
        <v>161</v>
      </c>
      <c r="B67" t="s">
        <v>162</v>
      </c>
      <c r="C67" t="s">
        <v>93</v>
      </c>
      <c r="D67" t="s">
        <v>39</v>
      </c>
      <c r="E67" t="s">
        <v>22</v>
      </c>
      <c r="F67" s="1">
        <v>12275.84</v>
      </c>
      <c r="G67">
        <v>7</v>
      </c>
      <c r="H67" s="1">
        <v>1826.35</v>
      </c>
      <c r="I67" t="s">
        <v>14</v>
      </c>
      <c r="J67">
        <f>YEAR(Retail_Data[Order_Date])</f>
        <v>2024</v>
      </c>
      <c r="K67" t="str">
        <f>TEXT(Retail_Data[Order_Date],"MMM")</f>
        <v>Nov</v>
      </c>
    </row>
    <row r="68" spans="1:11" x14ac:dyDescent="0.3">
      <c r="A68" t="s">
        <v>163</v>
      </c>
      <c r="B68" t="s">
        <v>164</v>
      </c>
      <c r="C68" t="s">
        <v>74</v>
      </c>
      <c r="D68" t="s">
        <v>18</v>
      </c>
      <c r="E68" t="s">
        <v>22</v>
      </c>
      <c r="F68" s="1">
        <v>2811.78</v>
      </c>
      <c r="G68">
        <v>7</v>
      </c>
      <c r="H68" s="1">
        <v>271.56</v>
      </c>
      <c r="I68" t="s">
        <v>23</v>
      </c>
      <c r="J68">
        <f>YEAR(Retail_Data[Order_Date])</f>
        <v>2024</v>
      </c>
      <c r="K68" t="str">
        <f>TEXT(Retail_Data[Order_Date],"MMM")</f>
        <v>Jul</v>
      </c>
    </row>
    <row r="69" spans="1:11" x14ac:dyDescent="0.3">
      <c r="A69" t="s">
        <v>165</v>
      </c>
      <c r="B69" t="s">
        <v>166</v>
      </c>
      <c r="C69" t="s">
        <v>26</v>
      </c>
      <c r="D69" t="s">
        <v>12</v>
      </c>
      <c r="E69" t="s">
        <v>57</v>
      </c>
      <c r="F69" s="1">
        <v>34420.28</v>
      </c>
      <c r="G69">
        <v>6</v>
      </c>
      <c r="H69" s="1">
        <v>4455.3100000000004</v>
      </c>
      <c r="I69" t="s">
        <v>23</v>
      </c>
      <c r="J69">
        <f>YEAR(Retail_Data[Order_Date])</f>
        <v>2024</v>
      </c>
      <c r="K69" t="str">
        <f>TEXT(Retail_Data[Order_Date],"MMM")</f>
        <v>Jun</v>
      </c>
    </row>
    <row r="70" spans="1:11" x14ac:dyDescent="0.3">
      <c r="A70" t="s">
        <v>167</v>
      </c>
      <c r="B70" t="s">
        <v>168</v>
      </c>
      <c r="C70" t="s">
        <v>38</v>
      </c>
      <c r="D70" t="s">
        <v>39</v>
      </c>
      <c r="E70" t="s">
        <v>13</v>
      </c>
      <c r="F70" s="1">
        <v>40791.5</v>
      </c>
      <c r="G70">
        <v>1</v>
      </c>
      <c r="H70" s="1">
        <v>3959.2</v>
      </c>
      <c r="I70" t="s">
        <v>14</v>
      </c>
      <c r="J70">
        <f>YEAR(Retail_Data[Order_Date])</f>
        <v>2024</v>
      </c>
      <c r="K70" t="str">
        <f>TEXT(Retail_Data[Order_Date],"MMM")</f>
        <v>Aug</v>
      </c>
    </row>
    <row r="71" spans="1:11" x14ac:dyDescent="0.3">
      <c r="A71" t="s">
        <v>169</v>
      </c>
      <c r="B71" t="s">
        <v>170</v>
      </c>
      <c r="C71" t="s">
        <v>17</v>
      </c>
      <c r="D71" t="s">
        <v>18</v>
      </c>
      <c r="E71" t="s">
        <v>27</v>
      </c>
      <c r="F71" s="1">
        <v>8039.67</v>
      </c>
      <c r="G71">
        <v>6</v>
      </c>
      <c r="H71" s="1">
        <v>1682.42</v>
      </c>
      <c r="I71" t="s">
        <v>23</v>
      </c>
      <c r="J71">
        <f>YEAR(Retail_Data[Order_Date])</f>
        <v>2024</v>
      </c>
      <c r="K71" t="str">
        <f>TEXT(Retail_Data[Order_Date],"MMM")</f>
        <v>Nov</v>
      </c>
    </row>
    <row r="72" spans="1:11" x14ac:dyDescent="0.3">
      <c r="A72" t="s">
        <v>171</v>
      </c>
      <c r="B72" t="s">
        <v>172</v>
      </c>
      <c r="C72" t="s">
        <v>141</v>
      </c>
      <c r="D72" t="s">
        <v>39</v>
      </c>
      <c r="E72" t="s">
        <v>22</v>
      </c>
      <c r="F72" s="1">
        <v>22616.41</v>
      </c>
      <c r="G72">
        <v>9</v>
      </c>
      <c r="H72" s="1">
        <v>4697.63</v>
      </c>
      <c r="I72" t="s">
        <v>35</v>
      </c>
      <c r="J72">
        <f>YEAR(Retail_Data[Order_Date])</f>
        <v>2024</v>
      </c>
      <c r="K72" t="str">
        <f>TEXT(Retail_Data[Order_Date],"MMM")</f>
        <v>Apr</v>
      </c>
    </row>
    <row r="73" spans="1:11" x14ac:dyDescent="0.3">
      <c r="A73" t="s">
        <v>173</v>
      </c>
      <c r="B73" t="s">
        <v>174</v>
      </c>
      <c r="C73" t="s">
        <v>44</v>
      </c>
      <c r="D73" t="s">
        <v>39</v>
      </c>
      <c r="E73" t="s">
        <v>13</v>
      </c>
      <c r="F73" s="1">
        <v>17170.650000000001</v>
      </c>
      <c r="G73">
        <v>4</v>
      </c>
      <c r="H73" s="1">
        <v>3623.64</v>
      </c>
      <c r="I73" t="s">
        <v>23</v>
      </c>
      <c r="J73">
        <f>YEAR(Retail_Data[Order_Date])</f>
        <v>2024</v>
      </c>
      <c r="K73" t="str">
        <f>TEXT(Retail_Data[Order_Date],"MMM")</f>
        <v>Nov</v>
      </c>
    </row>
    <row r="74" spans="1:11" x14ac:dyDescent="0.3">
      <c r="A74" t="s">
        <v>175</v>
      </c>
      <c r="B74" t="s">
        <v>176</v>
      </c>
      <c r="C74" t="s">
        <v>54</v>
      </c>
      <c r="D74" t="s">
        <v>18</v>
      </c>
      <c r="E74" t="s">
        <v>13</v>
      </c>
      <c r="F74" s="1">
        <v>26741.96</v>
      </c>
      <c r="G74">
        <v>1</v>
      </c>
      <c r="H74" s="1">
        <v>3274.04</v>
      </c>
      <c r="I74" t="s">
        <v>14</v>
      </c>
      <c r="J74">
        <f>YEAR(Retail_Data[Order_Date])</f>
        <v>2024</v>
      </c>
      <c r="K74" t="str">
        <f>TEXT(Retail_Data[Order_Date],"MMM")</f>
        <v>Jan</v>
      </c>
    </row>
    <row r="75" spans="1:11" x14ac:dyDescent="0.3">
      <c r="A75" t="s">
        <v>177</v>
      </c>
      <c r="B75" t="s">
        <v>178</v>
      </c>
      <c r="C75" t="s">
        <v>62</v>
      </c>
      <c r="D75" t="s">
        <v>34</v>
      </c>
      <c r="E75" t="s">
        <v>22</v>
      </c>
      <c r="F75" s="1">
        <v>43582.86</v>
      </c>
      <c r="G75">
        <v>7</v>
      </c>
      <c r="H75" s="1">
        <v>7074.65</v>
      </c>
      <c r="I75" t="s">
        <v>23</v>
      </c>
      <c r="J75">
        <f>YEAR(Retail_Data[Order_Date])</f>
        <v>2024</v>
      </c>
      <c r="K75" t="str">
        <f>TEXT(Retail_Data[Order_Date],"MMM")</f>
        <v>May</v>
      </c>
    </row>
    <row r="76" spans="1:11" x14ac:dyDescent="0.3">
      <c r="A76" t="s">
        <v>179</v>
      </c>
      <c r="B76" t="s">
        <v>180</v>
      </c>
      <c r="C76" t="s">
        <v>49</v>
      </c>
      <c r="D76" t="s">
        <v>12</v>
      </c>
      <c r="E76" t="s">
        <v>57</v>
      </c>
      <c r="F76" s="1">
        <v>5236.72</v>
      </c>
      <c r="G76">
        <v>5</v>
      </c>
      <c r="H76" s="1">
        <v>995.19</v>
      </c>
      <c r="I76" t="s">
        <v>23</v>
      </c>
      <c r="J76">
        <f>YEAR(Retail_Data[Order_Date])</f>
        <v>2024</v>
      </c>
      <c r="K76" t="str">
        <f>TEXT(Retail_Data[Order_Date],"MMM")</f>
        <v>Jun</v>
      </c>
    </row>
    <row r="77" spans="1:11" x14ac:dyDescent="0.3">
      <c r="A77" t="s">
        <v>181</v>
      </c>
      <c r="B77" t="s">
        <v>182</v>
      </c>
      <c r="C77" t="s">
        <v>109</v>
      </c>
      <c r="D77" t="s">
        <v>34</v>
      </c>
      <c r="E77" t="s">
        <v>57</v>
      </c>
      <c r="F77" s="1">
        <v>38243.78</v>
      </c>
      <c r="G77">
        <v>1</v>
      </c>
      <c r="H77" s="1">
        <v>9476.14</v>
      </c>
      <c r="I77" t="s">
        <v>35</v>
      </c>
      <c r="J77">
        <f>YEAR(Retail_Data[Order_Date])</f>
        <v>2024</v>
      </c>
      <c r="K77" t="str">
        <f>TEXT(Retail_Data[Order_Date],"MMM")</f>
        <v>Aug</v>
      </c>
    </row>
    <row r="78" spans="1:11" x14ac:dyDescent="0.3">
      <c r="A78" t="s">
        <v>183</v>
      </c>
      <c r="B78" t="s">
        <v>184</v>
      </c>
      <c r="C78" t="s">
        <v>93</v>
      </c>
      <c r="D78" t="s">
        <v>39</v>
      </c>
      <c r="E78" t="s">
        <v>27</v>
      </c>
      <c r="F78" s="1">
        <v>3598.86</v>
      </c>
      <c r="G78">
        <v>6</v>
      </c>
      <c r="H78" s="1">
        <v>810.01</v>
      </c>
      <c r="I78" t="s">
        <v>35</v>
      </c>
      <c r="J78">
        <f>YEAR(Retail_Data[Order_Date])</f>
        <v>2024</v>
      </c>
      <c r="K78" t="str">
        <f>TEXT(Retail_Data[Order_Date],"MMM")</f>
        <v>Dec</v>
      </c>
    </row>
    <row r="79" spans="1:11" x14ac:dyDescent="0.3">
      <c r="A79" t="s">
        <v>185</v>
      </c>
      <c r="B79" t="s">
        <v>186</v>
      </c>
      <c r="C79" t="s">
        <v>69</v>
      </c>
      <c r="D79" t="s">
        <v>34</v>
      </c>
      <c r="E79" t="s">
        <v>22</v>
      </c>
      <c r="F79" s="1">
        <v>11069.74</v>
      </c>
      <c r="G79">
        <v>2</v>
      </c>
      <c r="H79" s="1">
        <v>2710.14</v>
      </c>
      <c r="I79" t="s">
        <v>14</v>
      </c>
      <c r="J79">
        <f>YEAR(Retail_Data[Order_Date])</f>
        <v>2024</v>
      </c>
      <c r="K79" t="str">
        <f>TEXT(Retail_Data[Order_Date],"MMM")</f>
        <v>Sep</v>
      </c>
    </row>
    <row r="80" spans="1:11" x14ac:dyDescent="0.3">
      <c r="A80" t="s">
        <v>187</v>
      </c>
      <c r="B80" t="s">
        <v>188</v>
      </c>
      <c r="C80" t="s">
        <v>44</v>
      </c>
      <c r="D80" t="s">
        <v>39</v>
      </c>
      <c r="E80" t="s">
        <v>57</v>
      </c>
      <c r="F80" s="1">
        <v>15954.09</v>
      </c>
      <c r="G80">
        <v>9</v>
      </c>
      <c r="H80" s="1">
        <v>3420.17</v>
      </c>
      <c r="I80" t="s">
        <v>14</v>
      </c>
      <c r="J80">
        <f>YEAR(Retail_Data[Order_Date])</f>
        <v>2024</v>
      </c>
      <c r="K80" t="str">
        <f>TEXT(Retail_Data[Order_Date],"MMM")</f>
        <v>Mar</v>
      </c>
    </row>
    <row r="81" spans="1:11" x14ac:dyDescent="0.3">
      <c r="A81" t="s">
        <v>189</v>
      </c>
      <c r="B81" t="s">
        <v>190</v>
      </c>
      <c r="C81" t="s">
        <v>69</v>
      </c>
      <c r="D81" t="s">
        <v>34</v>
      </c>
      <c r="E81" t="s">
        <v>57</v>
      </c>
      <c r="F81" s="1">
        <v>24323.29</v>
      </c>
      <c r="G81">
        <v>10</v>
      </c>
      <c r="H81" s="1">
        <v>3775.15</v>
      </c>
      <c r="I81" t="s">
        <v>23</v>
      </c>
      <c r="J81">
        <f>YEAR(Retail_Data[Order_Date])</f>
        <v>2024</v>
      </c>
      <c r="K81" t="str">
        <f>TEXT(Retail_Data[Order_Date],"MMM")</f>
        <v>Jun</v>
      </c>
    </row>
    <row r="82" spans="1:11" x14ac:dyDescent="0.3">
      <c r="A82" t="s">
        <v>191</v>
      </c>
      <c r="B82" t="s">
        <v>192</v>
      </c>
      <c r="C82" t="s">
        <v>69</v>
      </c>
      <c r="D82" t="s">
        <v>34</v>
      </c>
      <c r="E82" t="s">
        <v>13</v>
      </c>
      <c r="F82" s="1">
        <v>23785.67</v>
      </c>
      <c r="G82">
        <v>10</v>
      </c>
      <c r="H82" s="1">
        <v>4566.74</v>
      </c>
      <c r="I82" t="s">
        <v>35</v>
      </c>
      <c r="J82">
        <f>YEAR(Retail_Data[Order_Date])</f>
        <v>2024</v>
      </c>
      <c r="K82" t="str">
        <f>TEXT(Retail_Data[Order_Date],"MMM")</f>
        <v>Jan</v>
      </c>
    </row>
    <row r="83" spans="1:11" x14ac:dyDescent="0.3">
      <c r="A83" t="s">
        <v>193</v>
      </c>
      <c r="B83" t="s">
        <v>194</v>
      </c>
      <c r="C83" t="s">
        <v>74</v>
      </c>
      <c r="D83" t="s">
        <v>18</v>
      </c>
      <c r="E83" t="s">
        <v>22</v>
      </c>
      <c r="F83" s="1">
        <v>15286.64</v>
      </c>
      <c r="G83">
        <v>4</v>
      </c>
      <c r="H83" s="1">
        <v>3117.13</v>
      </c>
      <c r="I83" t="s">
        <v>14</v>
      </c>
      <c r="J83">
        <f>YEAR(Retail_Data[Order_Date])</f>
        <v>2024</v>
      </c>
      <c r="K83" t="str">
        <f>TEXT(Retail_Data[Order_Date],"MMM")</f>
        <v>Nov</v>
      </c>
    </row>
    <row r="84" spans="1:11" x14ac:dyDescent="0.3">
      <c r="A84" t="s">
        <v>195</v>
      </c>
      <c r="B84" t="s">
        <v>196</v>
      </c>
      <c r="C84" t="s">
        <v>17</v>
      </c>
      <c r="D84" t="s">
        <v>18</v>
      </c>
      <c r="E84" t="s">
        <v>22</v>
      </c>
      <c r="F84" s="1">
        <v>31310.78</v>
      </c>
      <c r="G84">
        <v>9</v>
      </c>
      <c r="H84" s="1">
        <v>5405.51</v>
      </c>
      <c r="I84" t="s">
        <v>35</v>
      </c>
      <c r="J84">
        <f>YEAR(Retail_Data[Order_Date])</f>
        <v>2024</v>
      </c>
      <c r="K84" t="str">
        <f>TEXT(Retail_Data[Order_Date],"MMM")</f>
        <v>Jan</v>
      </c>
    </row>
    <row r="85" spans="1:11" x14ac:dyDescent="0.3">
      <c r="A85" t="s">
        <v>197</v>
      </c>
      <c r="B85" t="s">
        <v>198</v>
      </c>
      <c r="C85" t="s">
        <v>74</v>
      </c>
      <c r="D85" t="s">
        <v>18</v>
      </c>
      <c r="E85" t="s">
        <v>13</v>
      </c>
      <c r="F85" s="1">
        <v>36873.54</v>
      </c>
      <c r="G85">
        <v>6</v>
      </c>
      <c r="H85" s="1">
        <v>8797.08</v>
      </c>
      <c r="I85" t="s">
        <v>23</v>
      </c>
      <c r="J85">
        <f>YEAR(Retail_Data[Order_Date])</f>
        <v>2024</v>
      </c>
      <c r="K85" t="str">
        <f>TEXT(Retail_Data[Order_Date],"MMM")</f>
        <v>Sep</v>
      </c>
    </row>
    <row r="86" spans="1:11" x14ac:dyDescent="0.3">
      <c r="A86" t="s">
        <v>199</v>
      </c>
      <c r="B86" t="s">
        <v>10</v>
      </c>
      <c r="C86" t="s">
        <v>44</v>
      </c>
      <c r="D86" t="s">
        <v>39</v>
      </c>
      <c r="E86" t="s">
        <v>57</v>
      </c>
      <c r="F86" s="1">
        <v>45062.36</v>
      </c>
      <c r="G86">
        <v>3</v>
      </c>
      <c r="H86" s="1">
        <v>3860.06</v>
      </c>
      <c r="I86" t="s">
        <v>35</v>
      </c>
      <c r="J86">
        <f>YEAR(Retail_Data[Order_Date])</f>
        <v>2024</v>
      </c>
      <c r="K86" t="str">
        <f>TEXT(Retail_Data[Order_Date],"MMM")</f>
        <v>Jun</v>
      </c>
    </row>
    <row r="87" spans="1:11" x14ac:dyDescent="0.3">
      <c r="A87" t="s">
        <v>200</v>
      </c>
      <c r="B87" t="s">
        <v>201</v>
      </c>
      <c r="C87" t="s">
        <v>54</v>
      </c>
      <c r="D87" t="s">
        <v>18</v>
      </c>
      <c r="E87" t="s">
        <v>22</v>
      </c>
      <c r="F87" s="1">
        <v>4367.32</v>
      </c>
      <c r="G87">
        <v>10</v>
      </c>
      <c r="H87" s="1">
        <v>900.67</v>
      </c>
      <c r="I87" t="s">
        <v>35</v>
      </c>
      <c r="J87">
        <f>YEAR(Retail_Data[Order_Date])</f>
        <v>2024</v>
      </c>
      <c r="K87" t="str">
        <f>TEXT(Retail_Data[Order_Date],"MMM")</f>
        <v>Jan</v>
      </c>
    </row>
    <row r="88" spans="1:11" x14ac:dyDescent="0.3">
      <c r="A88" t="s">
        <v>202</v>
      </c>
      <c r="B88" t="s">
        <v>203</v>
      </c>
      <c r="C88" t="s">
        <v>69</v>
      </c>
      <c r="D88" t="s">
        <v>34</v>
      </c>
      <c r="E88" t="s">
        <v>22</v>
      </c>
      <c r="F88" s="1">
        <v>37125.9</v>
      </c>
      <c r="G88">
        <v>9</v>
      </c>
      <c r="H88" s="1">
        <v>8513.52</v>
      </c>
      <c r="I88" t="s">
        <v>14</v>
      </c>
      <c r="J88">
        <f>YEAR(Retail_Data[Order_Date])</f>
        <v>2024</v>
      </c>
      <c r="K88" t="str">
        <f>TEXT(Retail_Data[Order_Date],"MMM")</f>
        <v>Aug</v>
      </c>
    </row>
    <row r="89" spans="1:11" x14ac:dyDescent="0.3">
      <c r="A89" t="s">
        <v>204</v>
      </c>
      <c r="B89" t="s">
        <v>205</v>
      </c>
      <c r="C89" t="s">
        <v>33</v>
      </c>
      <c r="D89" t="s">
        <v>34</v>
      </c>
      <c r="E89" t="s">
        <v>13</v>
      </c>
      <c r="F89" s="1">
        <v>41038.339999999997</v>
      </c>
      <c r="G89">
        <v>9</v>
      </c>
      <c r="H89" s="1">
        <v>7297.71</v>
      </c>
      <c r="I89" t="s">
        <v>35</v>
      </c>
      <c r="J89">
        <f>YEAR(Retail_Data[Order_Date])</f>
        <v>2024</v>
      </c>
      <c r="K89" t="str">
        <f>TEXT(Retail_Data[Order_Date],"MMM")</f>
        <v>Jan</v>
      </c>
    </row>
    <row r="90" spans="1:11" x14ac:dyDescent="0.3">
      <c r="A90" t="s">
        <v>206</v>
      </c>
      <c r="B90" t="s">
        <v>207</v>
      </c>
      <c r="C90" t="s">
        <v>44</v>
      </c>
      <c r="D90" t="s">
        <v>39</v>
      </c>
      <c r="E90" t="s">
        <v>13</v>
      </c>
      <c r="F90" s="1">
        <v>17375.490000000002</v>
      </c>
      <c r="G90">
        <v>4</v>
      </c>
      <c r="H90" s="1">
        <v>2809.61</v>
      </c>
      <c r="I90" t="s">
        <v>35</v>
      </c>
      <c r="J90">
        <f>YEAR(Retail_Data[Order_Date])</f>
        <v>2024</v>
      </c>
      <c r="K90" t="str">
        <f>TEXT(Retail_Data[Order_Date],"MMM")</f>
        <v>Nov</v>
      </c>
    </row>
    <row r="91" spans="1:11" x14ac:dyDescent="0.3">
      <c r="A91" t="s">
        <v>208</v>
      </c>
      <c r="B91" t="s">
        <v>37</v>
      </c>
      <c r="C91" t="s">
        <v>109</v>
      </c>
      <c r="D91" t="s">
        <v>34</v>
      </c>
      <c r="E91" t="s">
        <v>13</v>
      </c>
      <c r="F91" s="1">
        <v>18563.22</v>
      </c>
      <c r="G91">
        <v>10</v>
      </c>
      <c r="H91" s="1">
        <v>3326.71</v>
      </c>
      <c r="I91" t="s">
        <v>35</v>
      </c>
      <c r="J91">
        <f>YEAR(Retail_Data[Order_Date])</f>
        <v>2024</v>
      </c>
      <c r="K91" t="str">
        <f>TEXT(Retail_Data[Order_Date],"MMM")</f>
        <v>Jun</v>
      </c>
    </row>
    <row r="92" spans="1:11" x14ac:dyDescent="0.3">
      <c r="A92" t="s">
        <v>209</v>
      </c>
      <c r="B92" t="s">
        <v>210</v>
      </c>
      <c r="C92" t="s">
        <v>38</v>
      </c>
      <c r="D92" t="s">
        <v>39</v>
      </c>
      <c r="E92" t="s">
        <v>57</v>
      </c>
      <c r="F92" s="1">
        <v>47071.66</v>
      </c>
      <c r="G92">
        <v>2</v>
      </c>
      <c r="H92" s="1">
        <v>4434.4799999999996</v>
      </c>
      <c r="I92" t="s">
        <v>23</v>
      </c>
      <c r="J92">
        <f>YEAR(Retail_Data[Order_Date])</f>
        <v>2024</v>
      </c>
      <c r="K92" t="str">
        <f>TEXT(Retail_Data[Order_Date],"MMM")</f>
        <v>May</v>
      </c>
    </row>
    <row r="93" spans="1:11" x14ac:dyDescent="0.3">
      <c r="A93" t="s">
        <v>211</v>
      </c>
      <c r="B93" t="s">
        <v>212</v>
      </c>
      <c r="C93" t="s">
        <v>26</v>
      </c>
      <c r="D93" t="s">
        <v>12</v>
      </c>
      <c r="E93" t="s">
        <v>22</v>
      </c>
      <c r="F93" s="1">
        <v>10539.62</v>
      </c>
      <c r="G93">
        <v>5</v>
      </c>
      <c r="H93" s="1">
        <v>2577.3000000000002</v>
      </c>
      <c r="I93" t="s">
        <v>14</v>
      </c>
      <c r="J93">
        <f>YEAR(Retail_Data[Order_Date])</f>
        <v>2024</v>
      </c>
      <c r="K93" t="str">
        <f>TEXT(Retail_Data[Order_Date],"MMM")</f>
        <v>Nov</v>
      </c>
    </row>
    <row r="94" spans="1:11" x14ac:dyDescent="0.3">
      <c r="A94" t="s">
        <v>213</v>
      </c>
      <c r="B94" t="s">
        <v>214</v>
      </c>
      <c r="C94" t="s">
        <v>33</v>
      </c>
      <c r="D94" t="s">
        <v>34</v>
      </c>
      <c r="E94" t="s">
        <v>27</v>
      </c>
      <c r="F94" s="1">
        <v>44833.71</v>
      </c>
      <c r="G94">
        <v>9</v>
      </c>
      <c r="H94" s="1">
        <v>6791.04</v>
      </c>
      <c r="I94" t="s">
        <v>23</v>
      </c>
      <c r="J94">
        <f>YEAR(Retail_Data[Order_Date])</f>
        <v>2024</v>
      </c>
      <c r="K94" t="str">
        <f>TEXT(Retail_Data[Order_Date],"MMM")</f>
        <v>Dec</v>
      </c>
    </row>
    <row r="95" spans="1:11" x14ac:dyDescent="0.3">
      <c r="A95" t="s">
        <v>215</v>
      </c>
      <c r="B95" t="s">
        <v>216</v>
      </c>
      <c r="C95" t="s">
        <v>54</v>
      </c>
      <c r="D95" t="s">
        <v>18</v>
      </c>
      <c r="E95" t="s">
        <v>22</v>
      </c>
      <c r="F95" s="1">
        <v>49124.95</v>
      </c>
      <c r="G95">
        <v>6</v>
      </c>
      <c r="H95" s="1">
        <v>9413.2099999999991</v>
      </c>
      <c r="I95" t="s">
        <v>23</v>
      </c>
      <c r="J95">
        <f>YEAR(Retail_Data[Order_Date])</f>
        <v>2024</v>
      </c>
      <c r="K95" t="str">
        <f>TEXT(Retail_Data[Order_Date],"MMM")</f>
        <v>Apr</v>
      </c>
    </row>
    <row r="96" spans="1:11" x14ac:dyDescent="0.3">
      <c r="A96" t="s">
        <v>217</v>
      </c>
      <c r="B96" t="s">
        <v>104</v>
      </c>
      <c r="C96" t="s">
        <v>11</v>
      </c>
      <c r="D96" t="s">
        <v>12</v>
      </c>
      <c r="E96" t="s">
        <v>13</v>
      </c>
      <c r="F96" s="1">
        <v>39922.43</v>
      </c>
      <c r="G96">
        <v>5</v>
      </c>
      <c r="H96" s="1">
        <v>3425.83</v>
      </c>
      <c r="I96" t="s">
        <v>23</v>
      </c>
      <c r="J96">
        <f>YEAR(Retail_Data[Order_Date])</f>
        <v>2024</v>
      </c>
      <c r="K96" t="str">
        <f>TEXT(Retail_Data[Order_Date],"MMM")</f>
        <v>Dec</v>
      </c>
    </row>
    <row r="97" spans="1:11" x14ac:dyDescent="0.3">
      <c r="A97" t="s">
        <v>218</v>
      </c>
      <c r="B97" t="s">
        <v>219</v>
      </c>
      <c r="C97" t="s">
        <v>30</v>
      </c>
      <c r="D97" t="s">
        <v>12</v>
      </c>
      <c r="E97" t="s">
        <v>57</v>
      </c>
      <c r="F97" s="1">
        <v>4664.57</v>
      </c>
      <c r="G97">
        <v>7</v>
      </c>
      <c r="H97" s="1">
        <v>418.36</v>
      </c>
      <c r="I97" t="s">
        <v>35</v>
      </c>
      <c r="J97">
        <f>YEAR(Retail_Data[Order_Date])</f>
        <v>2024</v>
      </c>
      <c r="K97" t="str">
        <f>TEXT(Retail_Data[Order_Date],"MMM")</f>
        <v>Jul</v>
      </c>
    </row>
    <row r="98" spans="1:11" x14ac:dyDescent="0.3">
      <c r="A98" t="s">
        <v>220</v>
      </c>
      <c r="B98" t="s">
        <v>221</v>
      </c>
      <c r="C98" t="s">
        <v>38</v>
      </c>
      <c r="D98" t="s">
        <v>39</v>
      </c>
      <c r="E98" t="s">
        <v>22</v>
      </c>
      <c r="F98" s="1">
        <v>26361.99</v>
      </c>
      <c r="G98">
        <v>4</v>
      </c>
      <c r="H98" s="1">
        <v>6457.84</v>
      </c>
      <c r="I98" t="s">
        <v>23</v>
      </c>
      <c r="J98">
        <f>YEAR(Retail_Data[Order_Date])</f>
        <v>2024</v>
      </c>
      <c r="K98" t="str">
        <f>TEXT(Retail_Data[Order_Date],"MMM")</f>
        <v>Sep</v>
      </c>
    </row>
    <row r="99" spans="1:11" x14ac:dyDescent="0.3">
      <c r="A99" t="s">
        <v>222</v>
      </c>
      <c r="B99" t="s">
        <v>223</v>
      </c>
      <c r="C99" t="s">
        <v>11</v>
      </c>
      <c r="D99" t="s">
        <v>12</v>
      </c>
      <c r="E99" t="s">
        <v>13</v>
      </c>
      <c r="F99" s="1">
        <v>4534.76</v>
      </c>
      <c r="G99">
        <v>10</v>
      </c>
      <c r="H99" s="1">
        <v>1097.3499999999999</v>
      </c>
      <c r="I99" t="s">
        <v>14</v>
      </c>
      <c r="J99">
        <f>YEAR(Retail_Data[Order_Date])</f>
        <v>2024</v>
      </c>
      <c r="K99" t="str">
        <f>TEXT(Retail_Data[Order_Date],"MMM")</f>
        <v>Mar</v>
      </c>
    </row>
    <row r="100" spans="1:11" x14ac:dyDescent="0.3">
      <c r="A100" t="s">
        <v>224</v>
      </c>
      <c r="B100" t="s">
        <v>225</v>
      </c>
      <c r="C100" t="s">
        <v>93</v>
      </c>
      <c r="D100" t="s">
        <v>39</v>
      </c>
      <c r="E100" t="s">
        <v>27</v>
      </c>
      <c r="F100" s="1">
        <v>8202.6</v>
      </c>
      <c r="G100">
        <v>4</v>
      </c>
      <c r="H100" s="1">
        <v>1888.03</v>
      </c>
      <c r="I100" t="s">
        <v>35</v>
      </c>
      <c r="J100">
        <f>YEAR(Retail_Data[Order_Date])</f>
        <v>2024</v>
      </c>
      <c r="K100" t="str">
        <f>TEXT(Retail_Data[Order_Date],"MMM")</f>
        <v>Jun</v>
      </c>
    </row>
    <row r="101" spans="1:11" x14ac:dyDescent="0.3">
      <c r="A101" t="s">
        <v>226</v>
      </c>
      <c r="B101" t="s">
        <v>227</v>
      </c>
      <c r="C101" t="s">
        <v>62</v>
      </c>
      <c r="D101" t="s">
        <v>34</v>
      </c>
      <c r="E101" t="s">
        <v>27</v>
      </c>
      <c r="F101" s="1">
        <v>33249.81</v>
      </c>
      <c r="G101">
        <v>7</v>
      </c>
      <c r="H101" s="1">
        <v>6687.48</v>
      </c>
      <c r="I101" t="s">
        <v>23</v>
      </c>
      <c r="J101">
        <f>YEAR(Retail_Data[Order_Date])</f>
        <v>2024</v>
      </c>
      <c r="K101" t="str">
        <f>TEXT(Retail_Data[Order_Date],"MMM")</f>
        <v>Jul</v>
      </c>
    </row>
    <row r="102" spans="1:11" x14ac:dyDescent="0.3">
      <c r="A102" t="s">
        <v>228</v>
      </c>
      <c r="B102" t="s">
        <v>229</v>
      </c>
      <c r="C102" t="s">
        <v>21</v>
      </c>
      <c r="D102" t="s">
        <v>18</v>
      </c>
      <c r="E102" t="s">
        <v>27</v>
      </c>
      <c r="F102" s="1">
        <v>3917.63</v>
      </c>
      <c r="G102">
        <v>9</v>
      </c>
      <c r="H102" s="1">
        <v>264.26</v>
      </c>
      <c r="I102" t="s">
        <v>35</v>
      </c>
      <c r="J102">
        <f>YEAR(Retail_Data[Order_Date])</f>
        <v>2024</v>
      </c>
      <c r="K102" t="str">
        <f>TEXT(Retail_Data[Order_Date],"MMM")</f>
        <v>Jan</v>
      </c>
    </row>
    <row r="103" spans="1:11" x14ac:dyDescent="0.3">
      <c r="A103" t="s">
        <v>230</v>
      </c>
      <c r="B103" t="s">
        <v>231</v>
      </c>
      <c r="C103" t="s">
        <v>93</v>
      </c>
      <c r="D103" t="s">
        <v>39</v>
      </c>
      <c r="E103" t="s">
        <v>57</v>
      </c>
      <c r="F103" s="1">
        <v>20635.349999999999</v>
      </c>
      <c r="G103">
        <v>6</v>
      </c>
      <c r="H103" s="1">
        <v>4350.76</v>
      </c>
      <c r="I103" t="s">
        <v>14</v>
      </c>
      <c r="J103">
        <f>YEAR(Retail_Data[Order_Date])</f>
        <v>2024</v>
      </c>
      <c r="K103" t="str">
        <f>TEXT(Retail_Data[Order_Date],"MMM")</f>
        <v>May</v>
      </c>
    </row>
    <row r="104" spans="1:11" x14ac:dyDescent="0.3">
      <c r="A104" t="s">
        <v>232</v>
      </c>
      <c r="B104" t="s">
        <v>233</v>
      </c>
      <c r="C104" t="s">
        <v>49</v>
      </c>
      <c r="D104" t="s">
        <v>12</v>
      </c>
      <c r="E104" t="s">
        <v>27</v>
      </c>
      <c r="F104" s="1">
        <v>43498.81</v>
      </c>
      <c r="G104">
        <v>5</v>
      </c>
      <c r="H104" s="1">
        <v>6311.9</v>
      </c>
      <c r="I104" t="s">
        <v>35</v>
      </c>
      <c r="J104">
        <f>YEAR(Retail_Data[Order_Date])</f>
        <v>2024</v>
      </c>
      <c r="K104" t="str">
        <f>TEXT(Retail_Data[Order_Date],"MMM")</f>
        <v>Jun</v>
      </c>
    </row>
    <row r="105" spans="1:11" x14ac:dyDescent="0.3">
      <c r="A105" t="s">
        <v>234</v>
      </c>
      <c r="B105" t="s">
        <v>235</v>
      </c>
      <c r="C105" t="s">
        <v>11</v>
      </c>
      <c r="D105" t="s">
        <v>12</v>
      </c>
      <c r="E105" t="s">
        <v>22</v>
      </c>
      <c r="F105" s="1">
        <v>42902.77</v>
      </c>
      <c r="G105">
        <v>5</v>
      </c>
      <c r="H105" s="1">
        <v>9368.0400000000009</v>
      </c>
      <c r="I105" t="s">
        <v>14</v>
      </c>
      <c r="J105">
        <f>YEAR(Retail_Data[Order_Date])</f>
        <v>2024</v>
      </c>
      <c r="K105" t="str">
        <f>TEXT(Retail_Data[Order_Date],"MMM")</f>
        <v>Oct</v>
      </c>
    </row>
    <row r="106" spans="1:11" x14ac:dyDescent="0.3">
      <c r="A106" t="s">
        <v>236</v>
      </c>
      <c r="B106" t="s">
        <v>237</v>
      </c>
      <c r="C106" t="s">
        <v>33</v>
      </c>
      <c r="D106" t="s">
        <v>34</v>
      </c>
      <c r="E106" t="s">
        <v>57</v>
      </c>
      <c r="F106" s="1">
        <v>31000.11</v>
      </c>
      <c r="G106">
        <v>10</v>
      </c>
      <c r="H106" s="1">
        <v>1733.45</v>
      </c>
      <c r="I106" t="s">
        <v>35</v>
      </c>
      <c r="J106">
        <f>YEAR(Retail_Data[Order_Date])</f>
        <v>2024</v>
      </c>
      <c r="K106" t="str">
        <f>TEXT(Retail_Data[Order_Date],"MMM")</f>
        <v>Mar</v>
      </c>
    </row>
    <row r="107" spans="1:11" x14ac:dyDescent="0.3">
      <c r="A107" t="s">
        <v>238</v>
      </c>
      <c r="B107" t="s">
        <v>239</v>
      </c>
      <c r="C107" t="s">
        <v>30</v>
      </c>
      <c r="D107" t="s">
        <v>12</v>
      </c>
      <c r="E107" t="s">
        <v>22</v>
      </c>
      <c r="F107" s="1">
        <v>13936.6</v>
      </c>
      <c r="G107">
        <v>3</v>
      </c>
      <c r="H107" s="1">
        <v>2068.4299999999998</v>
      </c>
      <c r="I107" t="s">
        <v>14</v>
      </c>
      <c r="J107">
        <f>YEAR(Retail_Data[Order_Date])</f>
        <v>2024</v>
      </c>
      <c r="K107" t="str">
        <f>TEXT(Retail_Data[Order_Date],"MMM")</f>
        <v>Aug</v>
      </c>
    </row>
    <row r="108" spans="1:11" x14ac:dyDescent="0.3">
      <c r="A108" t="s">
        <v>240</v>
      </c>
      <c r="B108" t="s">
        <v>241</v>
      </c>
      <c r="C108" t="s">
        <v>62</v>
      </c>
      <c r="D108" t="s">
        <v>34</v>
      </c>
      <c r="E108" t="s">
        <v>57</v>
      </c>
      <c r="F108" s="1">
        <v>24171.57</v>
      </c>
      <c r="G108">
        <v>3</v>
      </c>
      <c r="H108" s="1">
        <v>1548.41</v>
      </c>
      <c r="I108" t="s">
        <v>14</v>
      </c>
      <c r="J108">
        <f>YEAR(Retail_Data[Order_Date])</f>
        <v>2024</v>
      </c>
      <c r="K108" t="str">
        <f>TEXT(Retail_Data[Order_Date],"MMM")</f>
        <v>Aug</v>
      </c>
    </row>
    <row r="109" spans="1:11" x14ac:dyDescent="0.3">
      <c r="A109" t="s">
        <v>242</v>
      </c>
      <c r="B109" t="s">
        <v>243</v>
      </c>
      <c r="C109" t="s">
        <v>141</v>
      </c>
      <c r="D109" t="s">
        <v>39</v>
      </c>
      <c r="E109" t="s">
        <v>13</v>
      </c>
      <c r="F109" s="1">
        <v>9741.67</v>
      </c>
      <c r="G109">
        <v>3</v>
      </c>
      <c r="H109" s="1">
        <v>770.27</v>
      </c>
      <c r="I109" t="s">
        <v>35</v>
      </c>
      <c r="J109">
        <f>YEAR(Retail_Data[Order_Date])</f>
        <v>2024</v>
      </c>
      <c r="K109" t="str">
        <f>TEXT(Retail_Data[Order_Date],"MMM")</f>
        <v>Jun</v>
      </c>
    </row>
    <row r="110" spans="1:11" x14ac:dyDescent="0.3">
      <c r="A110" t="s">
        <v>244</v>
      </c>
      <c r="B110" t="s">
        <v>245</v>
      </c>
      <c r="C110" t="s">
        <v>93</v>
      </c>
      <c r="D110" t="s">
        <v>39</v>
      </c>
      <c r="E110" t="s">
        <v>57</v>
      </c>
      <c r="F110" s="1">
        <v>6239.77</v>
      </c>
      <c r="G110">
        <v>4</v>
      </c>
      <c r="H110" s="1">
        <v>317.48</v>
      </c>
      <c r="I110" t="s">
        <v>35</v>
      </c>
      <c r="J110">
        <f>YEAR(Retail_Data[Order_Date])</f>
        <v>2024</v>
      </c>
      <c r="K110" t="str">
        <f>TEXT(Retail_Data[Order_Date],"MMM")</f>
        <v>Apr</v>
      </c>
    </row>
    <row r="111" spans="1:11" x14ac:dyDescent="0.3">
      <c r="A111" t="s">
        <v>246</v>
      </c>
      <c r="B111" t="s">
        <v>229</v>
      </c>
      <c r="C111" t="s">
        <v>49</v>
      </c>
      <c r="D111" t="s">
        <v>12</v>
      </c>
      <c r="E111" t="s">
        <v>13</v>
      </c>
      <c r="F111" s="1">
        <v>39028.21</v>
      </c>
      <c r="G111">
        <v>9</v>
      </c>
      <c r="H111" s="1">
        <v>2846.91</v>
      </c>
      <c r="I111" t="s">
        <v>14</v>
      </c>
      <c r="J111">
        <f>YEAR(Retail_Data[Order_Date])</f>
        <v>2024</v>
      </c>
      <c r="K111" t="str">
        <f>TEXT(Retail_Data[Order_Date],"MMM")</f>
        <v>Jan</v>
      </c>
    </row>
    <row r="112" spans="1:11" x14ac:dyDescent="0.3">
      <c r="A112" t="s">
        <v>247</v>
      </c>
      <c r="B112" t="s">
        <v>53</v>
      </c>
      <c r="C112" t="s">
        <v>11</v>
      </c>
      <c r="D112" t="s">
        <v>12</v>
      </c>
      <c r="E112" t="s">
        <v>27</v>
      </c>
      <c r="F112" s="1">
        <v>30109.93</v>
      </c>
      <c r="G112">
        <v>2</v>
      </c>
      <c r="H112" s="1">
        <v>5651.23</v>
      </c>
      <c r="I112" t="s">
        <v>14</v>
      </c>
      <c r="J112">
        <f>YEAR(Retail_Data[Order_Date])</f>
        <v>2024</v>
      </c>
      <c r="K112" t="str">
        <f>TEXT(Retail_Data[Order_Date],"MMM")</f>
        <v>Sep</v>
      </c>
    </row>
    <row r="113" spans="1:11" x14ac:dyDescent="0.3">
      <c r="A113" t="s">
        <v>248</v>
      </c>
      <c r="B113" t="s">
        <v>249</v>
      </c>
      <c r="C113" t="s">
        <v>109</v>
      </c>
      <c r="D113" t="s">
        <v>34</v>
      </c>
      <c r="E113" t="s">
        <v>27</v>
      </c>
      <c r="F113" s="1">
        <v>45532.72</v>
      </c>
      <c r="G113">
        <v>7</v>
      </c>
      <c r="H113" s="1">
        <v>4062.53</v>
      </c>
      <c r="I113" t="s">
        <v>23</v>
      </c>
      <c r="J113">
        <f>YEAR(Retail_Data[Order_Date])</f>
        <v>2024</v>
      </c>
      <c r="K113" t="str">
        <f>TEXT(Retail_Data[Order_Date],"MMM")</f>
        <v>May</v>
      </c>
    </row>
    <row r="114" spans="1:11" x14ac:dyDescent="0.3">
      <c r="A114" t="s">
        <v>250</v>
      </c>
      <c r="B114" t="s">
        <v>251</v>
      </c>
      <c r="C114" t="s">
        <v>38</v>
      </c>
      <c r="D114" t="s">
        <v>39</v>
      </c>
      <c r="E114" t="s">
        <v>27</v>
      </c>
      <c r="F114" s="1">
        <v>19374.63</v>
      </c>
      <c r="G114">
        <v>10</v>
      </c>
      <c r="H114" s="1">
        <v>3161.26</v>
      </c>
      <c r="I114" t="s">
        <v>23</v>
      </c>
      <c r="J114">
        <f>YEAR(Retail_Data[Order_Date])</f>
        <v>2024</v>
      </c>
      <c r="K114" t="str">
        <f>TEXT(Retail_Data[Order_Date],"MMM")</f>
        <v>Sep</v>
      </c>
    </row>
    <row r="115" spans="1:11" x14ac:dyDescent="0.3">
      <c r="A115" t="s">
        <v>252</v>
      </c>
      <c r="B115" t="s">
        <v>253</v>
      </c>
      <c r="C115" t="s">
        <v>33</v>
      </c>
      <c r="D115" t="s">
        <v>34</v>
      </c>
      <c r="E115" t="s">
        <v>13</v>
      </c>
      <c r="F115" s="1">
        <v>43487.27</v>
      </c>
      <c r="G115">
        <v>7</v>
      </c>
      <c r="H115" s="1">
        <v>7984.9</v>
      </c>
      <c r="I115" t="s">
        <v>23</v>
      </c>
      <c r="J115">
        <f>YEAR(Retail_Data[Order_Date])</f>
        <v>2024</v>
      </c>
      <c r="K115" t="str">
        <f>TEXT(Retail_Data[Order_Date],"MMM")</f>
        <v>Feb</v>
      </c>
    </row>
    <row r="116" spans="1:11" x14ac:dyDescent="0.3">
      <c r="A116" t="s">
        <v>254</v>
      </c>
      <c r="B116" t="s">
        <v>255</v>
      </c>
      <c r="C116" t="s">
        <v>38</v>
      </c>
      <c r="D116" t="s">
        <v>39</v>
      </c>
      <c r="E116" t="s">
        <v>27</v>
      </c>
      <c r="F116" s="1">
        <v>47456.34</v>
      </c>
      <c r="G116">
        <v>5</v>
      </c>
      <c r="H116" s="1">
        <v>4343.25</v>
      </c>
      <c r="I116" t="s">
        <v>23</v>
      </c>
      <c r="J116">
        <f>YEAR(Retail_Data[Order_Date])</f>
        <v>2024</v>
      </c>
      <c r="K116" t="str">
        <f>TEXT(Retail_Data[Order_Date],"MMM")</f>
        <v>Apr</v>
      </c>
    </row>
    <row r="117" spans="1:11" x14ac:dyDescent="0.3">
      <c r="A117" t="s">
        <v>256</v>
      </c>
      <c r="B117" t="s">
        <v>100</v>
      </c>
      <c r="C117" t="s">
        <v>109</v>
      </c>
      <c r="D117" t="s">
        <v>34</v>
      </c>
      <c r="E117" t="s">
        <v>57</v>
      </c>
      <c r="F117" s="1">
        <v>4602.07</v>
      </c>
      <c r="G117">
        <v>4</v>
      </c>
      <c r="H117" s="1">
        <v>1149.3800000000001</v>
      </c>
      <c r="I117" t="s">
        <v>23</v>
      </c>
      <c r="J117">
        <f>YEAR(Retail_Data[Order_Date])</f>
        <v>2024</v>
      </c>
      <c r="K117" t="str">
        <f>TEXT(Retail_Data[Order_Date],"MMM")</f>
        <v>Sep</v>
      </c>
    </row>
    <row r="118" spans="1:11" x14ac:dyDescent="0.3">
      <c r="A118" t="s">
        <v>257</v>
      </c>
      <c r="B118" t="s">
        <v>258</v>
      </c>
      <c r="C118" t="s">
        <v>38</v>
      </c>
      <c r="D118" t="s">
        <v>39</v>
      </c>
      <c r="E118" t="s">
        <v>27</v>
      </c>
      <c r="F118" s="1">
        <v>2918.63</v>
      </c>
      <c r="G118">
        <v>4</v>
      </c>
      <c r="H118" s="1">
        <v>235.04</v>
      </c>
      <c r="I118" t="s">
        <v>35</v>
      </c>
      <c r="J118">
        <f>YEAR(Retail_Data[Order_Date])</f>
        <v>2024</v>
      </c>
      <c r="K118" t="str">
        <f>TEXT(Retail_Data[Order_Date],"MMM")</f>
        <v>Jul</v>
      </c>
    </row>
    <row r="119" spans="1:11" x14ac:dyDescent="0.3">
      <c r="A119" t="s">
        <v>259</v>
      </c>
      <c r="B119" t="s">
        <v>260</v>
      </c>
      <c r="C119" t="s">
        <v>26</v>
      </c>
      <c r="D119" t="s">
        <v>12</v>
      </c>
      <c r="E119" t="s">
        <v>22</v>
      </c>
      <c r="F119" s="1">
        <v>42329.120000000003</v>
      </c>
      <c r="G119">
        <v>3</v>
      </c>
      <c r="H119" s="1">
        <v>10259.86</v>
      </c>
      <c r="I119" t="s">
        <v>23</v>
      </c>
      <c r="J119">
        <f>YEAR(Retail_Data[Order_Date])</f>
        <v>2024</v>
      </c>
      <c r="K119" t="str">
        <f>TEXT(Retail_Data[Order_Date],"MMM")</f>
        <v>Dec</v>
      </c>
    </row>
    <row r="120" spans="1:11" x14ac:dyDescent="0.3">
      <c r="A120" t="s">
        <v>261</v>
      </c>
      <c r="B120" t="s">
        <v>262</v>
      </c>
      <c r="C120" t="s">
        <v>141</v>
      </c>
      <c r="D120" t="s">
        <v>39</v>
      </c>
      <c r="E120" t="s">
        <v>13</v>
      </c>
      <c r="F120" s="1">
        <v>44082.67</v>
      </c>
      <c r="G120">
        <v>3</v>
      </c>
      <c r="H120" s="1">
        <v>3124.56</v>
      </c>
      <c r="I120" t="s">
        <v>14</v>
      </c>
      <c r="J120">
        <f>YEAR(Retail_Data[Order_Date])</f>
        <v>2024</v>
      </c>
      <c r="K120" t="str">
        <f>TEXT(Retail_Data[Order_Date],"MMM")</f>
        <v>Jan</v>
      </c>
    </row>
    <row r="121" spans="1:11" x14ac:dyDescent="0.3">
      <c r="A121" t="s">
        <v>263</v>
      </c>
      <c r="B121" t="s">
        <v>264</v>
      </c>
      <c r="C121" t="s">
        <v>26</v>
      </c>
      <c r="D121" t="s">
        <v>12</v>
      </c>
      <c r="E121" t="s">
        <v>57</v>
      </c>
      <c r="F121" s="1">
        <v>9122.17</v>
      </c>
      <c r="G121">
        <v>4</v>
      </c>
      <c r="H121" s="1">
        <v>2081.27</v>
      </c>
      <c r="I121" t="s">
        <v>35</v>
      </c>
      <c r="J121">
        <f>YEAR(Retail_Data[Order_Date])</f>
        <v>2024</v>
      </c>
      <c r="K121" t="str">
        <f>TEXT(Retail_Data[Order_Date],"MMM")</f>
        <v>Jun</v>
      </c>
    </row>
    <row r="122" spans="1:11" x14ac:dyDescent="0.3">
      <c r="A122" t="s">
        <v>265</v>
      </c>
      <c r="B122" t="s">
        <v>266</v>
      </c>
      <c r="C122" t="s">
        <v>21</v>
      </c>
      <c r="D122" t="s">
        <v>18</v>
      </c>
      <c r="E122" t="s">
        <v>22</v>
      </c>
      <c r="F122" s="1">
        <v>29336.63</v>
      </c>
      <c r="G122">
        <v>10</v>
      </c>
      <c r="H122" s="1">
        <v>1733.68</v>
      </c>
      <c r="I122" t="s">
        <v>35</v>
      </c>
      <c r="J122">
        <f>YEAR(Retail_Data[Order_Date])</f>
        <v>2024</v>
      </c>
      <c r="K122" t="str">
        <f>TEXT(Retail_Data[Order_Date],"MMM")</f>
        <v>Mar</v>
      </c>
    </row>
    <row r="123" spans="1:11" x14ac:dyDescent="0.3">
      <c r="A123" t="s">
        <v>267</v>
      </c>
      <c r="B123" t="s">
        <v>156</v>
      </c>
      <c r="C123" t="s">
        <v>33</v>
      </c>
      <c r="D123" t="s">
        <v>34</v>
      </c>
      <c r="E123" t="s">
        <v>13</v>
      </c>
      <c r="F123" s="1">
        <v>31845.79</v>
      </c>
      <c r="G123">
        <v>6</v>
      </c>
      <c r="H123" s="1">
        <v>7216.31</v>
      </c>
      <c r="I123" t="s">
        <v>23</v>
      </c>
      <c r="J123">
        <f>YEAR(Retail_Data[Order_Date])</f>
        <v>2024</v>
      </c>
      <c r="K123" t="str">
        <f>TEXT(Retail_Data[Order_Date],"MMM")</f>
        <v>Aug</v>
      </c>
    </row>
    <row r="124" spans="1:11" x14ac:dyDescent="0.3">
      <c r="A124" t="s">
        <v>268</v>
      </c>
      <c r="B124" t="s">
        <v>269</v>
      </c>
      <c r="C124" t="s">
        <v>69</v>
      </c>
      <c r="D124" t="s">
        <v>34</v>
      </c>
      <c r="E124" t="s">
        <v>27</v>
      </c>
      <c r="F124" s="1">
        <v>12610.94</v>
      </c>
      <c r="G124">
        <v>1</v>
      </c>
      <c r="H124" s="1">
        <v>2089.5100000000002</v>
      </c>
      <c r="I124" t="s">
        <v>35</v>
      </c>
      <c r="J124">
        <f>YEAR(Retail_Data[Order_Date])</f>
        <v>2024</v>
      </c>
      <c r="K124" t="str">
        <f>TEXT(Retail_Data[Order_Date],"MMM")</f>
        <v>May</v>
      </c>
    </row>
    <row r="125" spans="1:11" x14ac:dyDescent="0.3">
      <c r="A125" t="s">
        <v>270</v>
      </c>
      <c r="B125" t="s">
        <v>271</v>
      </c>
      <c r="C125" t="s">
        <v>21</v>
      </c>
      <c r="D125" t="s">
        <v>18</v>
      </c>
      <c r="E125" t="s">
        <v>57</v>
      </c>
      <c r="F125" s="1">
        <v>41732.29</v>
      </c>
      <c r="G125">
        <v>9</v>
      </c>
      <c r="H125" s="1">
        <v>8738.9</v>
      </c>
      <c r="I125" t="s">
        <v>35</v>
      </c>
      <c r="J125">
        <f>YEAR(Retail_Data[Order_Date])</f>
        <v>2024</v>
      </c>
      <c r="K125" t="str">
        <f>TEXT(Retail_Data[Order_Date],"MMM")</f>
        <v>May</v>
      </c>
    </row>
    <row r="126" spans="1:11" x14ac:dyDescent="0.3">
      <c r="A126" t="s">
        <v>272</v>
      </c>
      <c r="B126" t="s">
        <v>172</v>
      </c>
      <c r="C126" t="s">
        <v>30</v>
      </c>
      <c r="D126" t="s">
        <v>12</v>
      </c>
      <c r="E126" t="s">
        <v>27</v>
      </c>
      <c r="F126" s="1">
        <v>8148.72</v>
      </c>
      <c r="G126">
        <v>3</v>
      </c>
      <c r="H126" s="1">
        <v>1415.04</v>
      </c>
      <c r="I126" t="s">
        <v>14</v>
      </c>
      <c r="J126">
        <f>YEAR(Retail_Data[Order_Date])</f>
        <v>2024</v>
      </c>
      <c r="K126" t="str">
        <f>TEXT(Retail_Data[Order_Date],"MMM")</f>
        <v>Apr</v>
      </c>
    </row>
    <row r="127" spans="1:11" x14ac:dyDescent="0.3">
      <c r="A127" t="s">
        <v>273</v>
      </c>
      <c r="B127" t="s">
        <v>274</v>
      </c>
      <c r="C127" t="s">
        <v>26</v>
      </c>
      <c r="D127" t="s">
        <v>12</v>
      </c>
      <c r="E127" t="s">
        <v>57</v>
      </c>
      <c r="F127" s="1">
        <v>45113.01</v>
      </c>
      <c r="G127">
        <v>6</v>
      </c>
      <c r="H127" s="1">
        <v>4599.8999999999996</v>
      </c>
      <c r="I127" t="s">
        <v>14</v>
      </c>
      <c r="J127">
        <f>YEAR(Retail_Data[Order_Date])</f>
        <v>2024</v>
      </c>
      <c r="K127" t="str">
        <f>TEXT(Retail_Data[Order_Date],"MMM")</f>
        <v>Jun</v>
      </c>
    </row>
    <row r="128" spans="1:11" x14ac:dyDescent="0.3">
      <c r="A128" t="s">
        <v>275</v>
      </c>
      <c r="B128" t="s">
        <v>145</v>
      </c>
      <c r="C128" t="s">
        <v>141</v>
      </c>
      <c r="D128" t="s">
        <v>39</v>
      </c>
      <c r="E128" t="s">
        <v>57</v>
      </c>
      <c r="F128" s="1">
        <v>20100.599999999999</v>
      </c>
      <c r="G128">
        <v>3</v>
      </c>
      <c r="H128" s="1">
        <v>4338.42</v>
      </c>
      <c r="I128" t="s">
        <v>14</v>
      </c>
      <c r="J128">
        <f>YEAR(Retail_Data[Order_Date])</f>
        <v>2024</v>
      </c>
      <c r="K128" t="str">
        <f>TEXT(Retail_Data[Order_Date],"MMM")</f>
        <v>May</v>
      </c>
    </row>
    <row r="129" spans="1:11" x14ac:dyDescent="0.3">
      <c r="A129" t="s">
        <v>276</v>
      </c>
      <c r="B129" t="s">
        <v>255</v>
      </c>
      <c r="C129" t="s">
        <v>93</v>
      </c>
      <c r="D129" t="s">
        <v>39</v>
      </c>
      <c r="E129" t="s">
        <v>57</v>
      </c>
      <c r="F129" s="1">
        <v>45817.83</v>
      </c>
      <c r="G129">
        <v>9</v>
      </c>
      <c r="H129" s="1">
        <v>8054.51</v>
      </c>
      <c r="I129" t="s">
        <v>14</v>
      </c>
      <c r="J129">
        <f>YEAR(Retail_Data[Order_Date])</f>
        <v>2024</v>
      </c>
      <c r="K129" t="str">
        <f>TEXT(Retail_Data[Order_Date],"MMM")</f>
        <v>Apr</v>
      </c>
    </row>
    <row r="130" spans="1:11" x14ac:dyDescent="0.3">
      <c r="A130" t="s">
        <v>277</v>
      </c>
      <c r="B130" t="s">
        <v>278</v>
      </c>
      <c r="C130" t="s">
        <v>69</v>
      </c>
      <c r="D130" t="s">
        <v>34</v>
      </c>
      <c r="E130" t="s">
        <v>13</v>
      </c>
      <c r="F130" s="1">
        <v>11601.19</v>
      </c>
      <c r="G130">
        <v>6</v>
      </c>
      <c r="H130" s="1">
        <v>2310.31</v>
      </c>
      <c r="I130" t="s">
        <v>23</v>
      </c>
      <c r="J130">
        <f>YEAR(Retail_Data[Order_Date])</f>
        <v>2024</v>
      </c>
      <c r="K130" t="str">
        <f>TEXT(Retail_Data[Order_Date],"MMM")</f>
        <v>Feb</v>
      </c>
    </row>
    <row r="131" spans="1:11" x14ac:dyDescent="0.3">
      <c r="A131" t="s">
        <v>279</v>
      </c>
      <c r="B131" t="s">
        <v>280</v>
      </c>
      <c r="C131" t="s">
        <v>44</v>
      </c>
      <c r="D131" t="s">
        <v>39</v>
      </c>
      <c r="E131" t="s">
        <v>22</v>
      </c>
      <c r="F131" s="1">
        <v>3221.68</v>
      </c>
      <c r="G131">
        <v>9</v>
      </c>
      <c r="H131" s="1">
        <v>489.72</v>
      </c>
      <c r="I131" t="s">
        <v>14</v>
      </c>
      <c r="J131">
        <f>YEAR(Retail_Data[Order_Date])</f>
        <v>2024</v>
      </c>
      <c r="K131" t="str">
        <f>TEXT(Retail_Data[Order_Date],"MMM")</f>
        <v>Dec</v>
      </c>
    </row>
    <row r="132" spans="1:11" x14ac:dyDescent="0.3">
      <c r="A132" t="s">
        <v>281</v>
      </c>
      <c r="B132" t="s">
        <v>282</v>
      </c>
      <c r="C132" t="s">
        <v>26</v>
      </c>
      <c r="D132" t="s">
        <v>12</v>
      </c>
      <c r="E132" t="s">
        <v>22</v>
      </c>
      <c r="F132" s="1">
        <v>10274.219999999999</v>
      </c>
      <c r="G132">
        <v>7</v>
      </c>
      <c r="H132" s="1">
        <v>2157.92</v>
      </c>
      <c r="I132" t="s">
        <v>23</v>
      </c>
      <c r="J132">
        <f>YEAR(Retail_Data[Order_Date])</f>
        <v>2024</v>
      </c>
      <c r="K132" t="str">
        <f>TEXT(Retail_Data[Order_Date],"MMM")</f>
        <v>Sep</v>
      </c>
    </row>
    <row r="133" spans="1:11" x14ac:dyDescent="0.3">
      <c r="A133" t="s">
        <v>283</v>
      </c>
      <c r="B133" t="s">
        <v>284</v>
      </c>
      <c r="C133" t="s">
        <v>21</v>
      </c>
      <c r="D133" t="s">
        <v>18</v>
      </c>
      <c r="E133" t="s">
        <v>57</v>
      </c>
      <c r="F133" s="1">
        <v>36599.75</v>
      </c>
      <c r="G133">
        <v>2</v>
      </c>
      <c r="H133" s="1">
        <v>5328.44</v>
      </c>
      <c r="I133" t="s">
        <v>14</v>
      </c>
      <c r="J133">
        <f>YEAR(Retail_Data[Order_Date])</f>
        <v>2024</v>
      </c>
      <c r="K133" t="str">
        <f>TEXT(Retail_Data[Order_Date],"MMM")</f>
        <v>Dec</v>
      </c>
    </row>
    <row r="134" spans="1:11" x14ac:dyDescent="0.3">
      <c r="A134" t="s">
        <v>285</v>
      </c>
      <c r="B134" t="s">
        <v>286</v>
      </c>
      <c r="C134" t="s">
        <v>69</v>
      </c>
      <c r="D134" t="s">
        <v>34</v>
      </c>
      <c r="E134" t="s">
        <v>27</v>
      </c>
      <c r="F134" s="1">
        <v>20275.259999999998</v>
      </c>
      <c r="G134">
        <v>3</v>
      </c>
      <c r="H134" s="1">
        <v>4931.75</v>
      </c>
      <c r="I134" t="s">
        <v>35</v>
      </c>
      <c r="J134">
        <f>YEAR(Retail_Data[Order_Date])</f>
        <v>2024</v>
      </c>
      <c r="K134" t="str">
        <f>TEXT(Retail_Data[Order_Date],"MMM")</f>
        <v>Nov</v>
      </c>
    </row>
    <row r="135" spans="1:11" x14ac:dyDescent="0.3">
      <c r="A135" t="s">
        <v>287</v>
      </c>
      <c r="B135" t="s">
        <v>288</v>
      </c>
      <c r="C135" t="s">
        <v>30</v>
      </c>
      <c r="D135" t="s">
        <v>12</v>
      </c>
      <c r="E135" t="s">
        <v>13</v>
      </c>
      <c r="F135" s="1">
        <v>45053.25</v>
      </c>
      <c r="G135">
        <v>2</v>
      </c>
      <c r="H135" s="1">
        <v>9448.73</v>
      </c>
      <c r="I135" t="s">
        <v>35</v>
      </c>
      <c r="J135">
        <f>YEAR(Retail_Data[Order_Date])</f>
        <v>2024</v>
      </c>
      <c r="K135" t="str">
        <f>TEXT(Retail_Data[Order_Date],"MMM")</f>
        <v>Oct</v>
      </c>
    </row>
    <row r="136" spans="1:11" x14ac:dyDescent="0.3">
      <c r="A136" t="s">
        <v>289</v>
      </c>
      <c r="B136" t="s">
        <v>216</v>
      </c>
      <c r="C136" t="s">
        <v>26</v>
      </c>
      <c r="D136" t="s">
        <v>12</v>
      </c>
      <c r="E136" t="s">
        <v>13</v>
      </c>
      <c r="F136" s="1">
        <v>16513.05</v>
      </c>
      <c r="G136">
        <v>10</v>
      </c>
      <c r="H136" s="1">
        <v>2238.88</v>
      </c>
      <c r="I136" t="s">
        <v>14</v>
      </c>
      <c r="J136">
        <f>YEAR(Retail_Data[Order_Date])</f>
        <v>2024</v>
      </c>
      <c r="K136" t="str">
        <f>TEXT(Retail_Data[Order_Date],"MMM")</f>
        <v>Apr</v>
      </c>
    </row>
    <row r="137" spans="1:11" x14ac:dyDescent="0.3">
      <c r="A137" t="s">
        <v>290</v>
      </c>
      <c r="B137" t="s">
        <v>291</v>
      </c>
      <c r="C137" t="s">
        <v>33</v>
      </c>
      <c r="D137" t="s">
        <v>34</v>
      </c>
      <c r="E137" t="s">
        <v>22</v>
      </c>
      <c r="F137" s="1">
        <v>12406.52</v>
      </c>
      <c r="G137">
        <v>3</v>
      </c>
      <c r="H137" s="1">
        <v>2184.3000000000002</v>
      </c>
      <c r="I137" t="s">
        <v>23</v>
      </c>
      <c r="J137">
        <f>YEAR(Retail_Data[Order_Date])</f>
        <v>2024</v>
      </c>
      <c r="K137" t="str">
        <f>TEXT(Retail_Data[Order_Date],"MMM")</f>
        <v>Feb</v>
      </c>
    </row>
    <row r="138" spans="1:11" x14ac:dyDescent="0.3">
      <c r="A138" t="s">
        <v>292</v>
      </c>
      <c r="B138" t="s">
        <v>293</v>
      </c>
      <c r="C138" t="s">
        <v>26</v>
      </c>
      <c r="D138" t="s">
        <v>12</v>
      </c>
      <c r="E138" t="s">
        <v>13</v>
      </c>
      <c r="F138" s="1">
        <v>2597.6999999999998</v>
      </c>
      <c r="G138">
        <v>1</v>
      </c>
      <c r="H138" s="1">
        <v>208.56</v>
      </c>
      <c r="I138" t="s">
        <v>35</v>
      </c>
      <c r="J138">
        <f>YEAR(Retail_Data[Order_Date])</f>
        <v>2024</v>
      </c>
      <c r="K138" t="str">
        <f>TEXT(Retail_Data[Order_Date],"MMM")</f>
        <v>Jul</v>
      </c>
    </row>
    <row r="139" spans="1:11" x14ac:dyDescent="0.3">
      <c r="A139" t="s">
        <v>294</v>
      </c>
      <c r="B139" t="s">
        <v>176</v>
      </c>
      <c r="C139" t="s">
        <v>30</v>
      </c>
      <c r="D139" t="s">
        <v>12</v>
      </c>
      <c r="E139" t="s">
        <v>27</v>
      </c>
      <c r="F139" s="1">
        <v>8303.02</v>
      </c>
      <c r="G139">
        <v>10</v>
      </c>
      <c r="H139" s="1">
        <v>1671.1</v>
      </c>
      <c r="I139" t="s">
        <v>35</v>
      </c>
      <c r="J139">
        <f>YEAR(Retail_Data[Order_Date])</f>
        <v>2024</v>
      </c>
      <c r="K139" t="str">
        <f>TEXT(Retail_Data[Order_Date],"MMM")</f>
        <v>Jan</v>
      </c>
    </row>
    <row r="140" spans="1:11" x14ac:dyDescent="0.3">
      <c r="A140" t="s">
        <v>295</v>
      </c>
      <c r="B140" t="s">
        <v>296</v>
      </c>
      <c r="C140" t="s">
        <v>69</v>
      </c>
      <c r="D140" t="s">
        <v>34</v>
      </c>
      <c r="E140" t="s">
        <v>13</v>
      </c>
      <c r="F140" s="1">
        <v>34969.120000000003</v>
      </c>
      <c r="G140">
        <v>5</v>
      </c>
      <c r="H140" s="1">
        <v>6151.93</v>
      </c>
      <c r="I140" t="s">
        <v>14</v>
      </c>
      <c r="J140">
        <f>YEAR(Retail_Data[Order_Date])</f>
        <v>2024</v>
      </c>
      <c r="K140" t="str">
        <f>TEXT(Retail_Data[Order_Date],"MMM")</f>
        <v>May</v>
      </c>
    </row>
    <row r="141" spans="1:11" x14ac:dyDescent="0.3">
      <c r="A141" t="s">
        <v>297</v>
      </c>
      <c r="B141" t="s">
        <v>298</v>
      </c>
      <c r="C141" t="s">
        <v>33</v>
      </c>
      <c r="D141" t="s">
        <v>34</v>
      </c>
      <c r="E141" t="s">
        <v>22</v>
      </c>
      <c r="F141" s="1">
        <v>4942.25</v>
      </c>
      <c r="G141">
        <v>9</v>
      </c>
      <c r="H141" s="1">
        <v>784.23</v>
      </c>
      <c r="I141" t="s">
        <v>14</v>
      </c>
      <c r="J141">
        <f>YEAR(Retail_Data[Order_Date])</f>
        <v>2024</v>
      </c>
      <c r="K141" t="str">
        <f>TEXT(Retail_Data[Order_Date],"MMM")</f>
        <v>Dec</v>
      </c>
    </row>
    <row r="142" spans="1:11" x14ac:dyDescent="0.3">
      <c r="A142" t="s">
        <v>299</v>
      </c>
      <c r="B142" t="s">
        <v>300</v>
      </c>
      <c r="C142" t="s">
        <v>33</v>
      </c>
      <c r="D142" t="s">
        <v>34</v>
      </c>
      <c r="E142" t="s">
        <v>57</v>
      </c>
      <c r="F142" s="1">
        <v>24309.54</v>
      </c>
      <c r="G142">
        <v>6</v>
      </c>
      <c r="H142" s="1">
        <v>3642.61</v>
      </c>
      <c r="I142" t="s">
        <v>35</v>
      </c>
      <c r="J142">
        <f>YEAR(Retail_Data[Order_Date])</f>
        <v>2024</v>
      </c>
      <c r="K142" t="str">
        <f>TEXT(Retail_Data[Order_Date],"MMM")</f>
        <v>Sep</v>
      </c>
    </row>
    <row r="143" spans="1:11" x14ac:dyDescent="0.3">
      <c r="A143" t="s">
        <v>301</v>
      </c>
      <c r="B143" t="s">
        <v>302</v>
      </c>
      <c r="C143" t="s">
        <v>49</v>
      </c>
      <c r="D143" t="s">
        <v>12</v>
      </c>
      <c r="E143" t="s">
        <v>13</v>
      </c>
      <c r="F143" s="1">
        <v>4685</v>
      </c>
      <c r="G143">
        <v>5</v>
      </c>
      <c r="H143" s="1">
        <v>759.65</v>
      </c>
      <c r="I143" t="s">
        <v>23</v>
      </c>
      <c r="J143">
        <f>YEAR(Retail_Data[Order_Date])</f>
        <v>2024</v>
      </c>
      <c r="K143" t="str">
        <f>TEXT(Retail_Data[Order_Date],"MMM")</f>
        <v>May</v>
      </c>
    </row>
    <row r="144" spans="1:11" x14ac:dyDescent="0.3">
      <c r="A144" t="s">
        <v>303</v>
      </c>
      <c r="B144" t="s">
        <v>304</v>
      </c>
      <c r="C144" t="s">
        <v>54</v>
      </c>
      <c r="D144" t="s">
        <v>18</v>
      </c>
      <c r="E144" t="s">
        <v>22</v>
      </c>
      <c r="F144" s="1">
        <v>7129.79</v>
      </c>
      <c r="G144">
        <v>6</v>
      </c>
      <c r="H144" s="1">
        <v>593.45000000000005</v>
      </c>
      <c r="I144" t="s">
        <v>35</v>
      </c>
      <c r="J144">
        <f>YEAR(Retail_Data[Order_Date])</f>
        <v>2024</v>
      </c>
      <c r="K144" t="str">
        <f>TEXT(Retail_Data[Order_Date],"MMM")</f>
        <v>Oct</v>
      </c>
    </row>
    <row r="145" spans="1:11" x14ac:dyDescent="0.3">
      <c r="A145" t="s">
        <v>305</v>
      </c>
      <c r="B145" t="s">
        <v>306</v>
      </c>
      <c r="C145" t="s">
        <v>109</v>
      </c>
      <c r="D145" t="s">
        <v>34</v>
      </c>
      <c r="E145" t="s">
        <v>27</v>
      </c>
      <c r="F145" s="1">
        <v>33813.58</v>
      </c>
      <c r="G145">
        <v>9</v>
      </c>
      <c r="H145" s="1">
        <v>2321.4499999999998</v>
      </c>
      <c r="I145" t="s">
        <v>14</v>
      </c>
      <c r="J145">
        <f>YEAR(Retail_Data[Order_Date])</f>
        <v>2024</v>
      </c>
      <c r="K145" t="str">
        <f>TEXT(Retail_Data[Order_Date],"MMM")</f>
        <v>Dec</v>
      </c>
    </row>
    <row r="146" spans="1:11" x14ac:dyDescent="0.3">
      <c r="A146" t="s">
        <v>307</v>
      </c>
      <c r="B146" t="s">
        <v>308</v>
      </c>
      <c r="C146" t="s">
        <v>141</v>
      </c>
      <c r="D146" t="s">
        <v>39</v>
      </c>
      <c r="E146" t="s">
        <v>22</v>
      </c>
      <c r="F146" s="1">
        <v>34141.599999999999</v>
      </c>
      <c r="G146">
        <v>2</v>
      </c>
      <c r="H146" s="1">
        <v>5417.41</v>
      </c>
      <c r="I146" t="s">
        <v>14</v>
      </c>
      <c r="J146">
        <f>YEAR(Retail_Data[Order_Date])</f>
        <v>2024</v>
      </c>
      <c r="K146" t="str">
        <f>TEXT(Retail_Data[Order_Date],"MMM")</f>
        <v>Oct</v>
      </c>
    </row>
    <row r="147" spans="1:11" x14ac:dyDescent="0.3">
      <c r="A147" t="s">
        <v>309</v>
      </c>
      <c r="B147" t="s">
        <v>310</v>
      </c>
      <c r="C147" t="s">
        <v>17</v>
      </c>
      <c r="D147" t="s">
        <v>18</v>
      </c>
      <c r="E147" t="s">
        <v>22</v>
      </c>
      <c r="F147" s="1">
        <v>29943.02</v>
      </c>
      <c r="G147">
        <v>7</v>
      </c>
      <c r="H147" s="1">
        <v>7192.21</v>
      </c>
      <c r="I147" t="s">
        <v>35</v>
      </c>
      <c r="J147">
        <f>YEAR(Retail_Data[Order_Date])</f>
        <v>2024</v>
      </c>
      <c r="K147" t="str">
        <f>TEXT(Retail_Data[Order_Date],"MMM")</f>
        <v>Jan</v>
      </c>
    </row>
    <row r="148" spans="1:11" x14ac:dyDescent="0.3">
      <c r="A148" t="s">
        <v>311</v>
      </c>
      <c r="B148" t="s">
        <v>61</v>
      </c>
      <c r="C148" t="s">
        <v>69</v>
      </c>
      <c r="D148" t="s">
        <v>34</v>
      </c>
      <c r="E148" t="s">
        <v>13</v>
      </c>
      <c r="F148" s="1">
        <v>36055.99</v>
      </c>
      <c r="G148">
        <v>3</v>
      </c>
      <c r="H148" s="1">
        <v>4977.49</v>
      </c>
      <c r="I148" t="s">
        <v>14</v>
      </c>
      <c r="J148">
        <f>YEAR(Retail_Data[Order_Date])</f>
        <v>2024</v>
      </c>
      <c r="K148" t="str">
        <f>TEXT(Retail_Data[Order_Date],"MMM")</f>
        <v>Aug</v>
      </c>
    </row>
    <row r="149" spans="1:11" x14ac:dyDescent="0.3">
      <c r="A149" t="s">
        <v>312</v>
      </c>
      <c r="B149" t="s">
        <v>184</v>
      </c>
      <c r="C149" t="s">
        <v>93</v>
      </c>
      <c r="D149" t="s">
        <v>39</v>
      </c>
      <c r="E149" t="s">
        <v>22</v>
      </c>
      <c r="F149" s="1">
        <v>22139.54</v>
      </c>
      <c r="G149">
        <v>3</v>
      </c>
      <c r="H149" s="1">
        <v>2316.84</v>
      </c>
      <c r="I149" t="s">
        <v>23</v>
      </c>
      <c r="J149">
        <f>YEAR(Retail_Data[Order_Date])</f>
        <v>2024</v>
      </c>
      <c r="K149" t="str">
        <f>TEXT(Retail_Data[Order_Date],"MMM")</f>
        <v>Dec</v>
      </c>
    </row>
    <row r="150" spans="1:11" x14ac:dyDescent="0.3">
      <c r="A150" t="s">
        <v>313</v>
      </c>
      <c r="B150" t="s">
        <v>314</v>
      </c>
      <c r="C150" t="s">
        <v>74</v>
      </c>
      <c r="D150" t="s">
        <v>18</v>
      </c>
      <c r="E150" t="s">
        <v>13</v>
      </c>
      <c r="F150" s="1">
        <v>48680.67</v>
      </c>
      <c r="G150">
        <v>7</v>
      </c>
      <c r="H150" s="1">
        <v>6083.08</v>
      </c>
      <c r="I150" t="s">
        <v>23</v>
      </c>
      <c r="J150">
        <f>YEAR(Retail_Data[Order_Date])</f>
        <v>2024</v>
      </c>
      <c r="K150" t="str">
        <f>TEXT(Retail_Data[Order_Date],"MMM")</f>
        <v>Oct</v>
      </c>
    </row>
    <row r="151" spans="1:11" x14ac:dyDescent="0.3">
      <c r="A151" t="s">
        <v>315</v>
      </c>
      <c r="B151" t="s">
        <v>316</v>
      </c>
      <c r="C151" t="s">
        <v>17</v>
      </c>
      <c r="D151" t="s">
        <v>18</v>
      </c>
      <c r="E151" t="s">
        <v>13</v>
      </c>
      <c r="F151" s="1">
        <v>1377.8</v>
      </c>
      <c r="G151">
        <v>7</v>
      </c>
      <c r="H151" s="1">
        <v>103.42</v>
      </c>
      <c r="I151" t="s">
        <v>14</v>
      </c>
      <c r="J151">
        <f>YEAR(Retail_Data[Order_Date])</f>
        <v>2024</v>
      </c>
      <c r="K151" t="str">
        <f>TEXT(Retail_Data[Order_Date],"MMM")</f>
        <v>Jul</v>
      </c>
    </row>
    <row r="152" spans="1:11" x14ac:dyDescent="0.3">
      <c r="A152" t="s">
        <v>317</v>
      </c>
      <c r="B152" t="s">
        <v>318</v>
      </c>
      <c r="C152" t="s">
        <v>30</v>
      </c>
      <c r="D152" t="s">
        <v>12</v>
      </c>
      <c r="E152" t="s">
        <v>22</v>
      </c>
      <c r="F152" s="1">
        <v>13024.98</v>
      </c>
      <c r="G152">
        <v>8</v>
      </c>
      <c r="H152" s="1">
        <v>3097.48</v>
      </c>
      <c r="I152" t="s">
        <v>14</v>
      </c>
      <c r="J152">
        <f>YEAR(Retail_Data[Order_Date])</f>
        <v>2024</v>
      </c>
      <c r="K152" t="str">
        <f>TEXT(Retail_Data[Order_Date],"MMM")</f>
        <v>Jun</v>
      </c>
    </row>
    <row r="153" spans="1:11" x14ac:dyDescent="0.3">
      <c r="A153" t="s">
        <v>319</v>
      </c>
      <c r="B153" t="s">
        <v>320</v>
      </c>
      <c r="C153" t="s">
        <v>21</v>
      </c>
      <c r="D153" t="s">
        <v>18</v>
      </c>
      <c r="E153" t="s">
        <v>27</v>
      </c>
      <c r="F153" s="1">
        <v>29600.3</v>
      </c>
      <c r="G153">
        <v>6</v>
      </c>
      <c r="H153" s="1">
        <v>2481.89</v>
      </c>
      <c r="I153" t="s">
        <v>23</v>
      </c>
      <c r="J153">
        <f>YEAR(Retail_Data[Order_Date])</f>
        <v>2024</v>
      </c>
      <c r="K153" t="str">
        <f>TEXT(Retail_Data[Order_Date],"MMM")</f>
        <v>Nov</v>
      </c>
    </row>
    <row r="154" spans="1:11" x14ac:dyDescent="0.3">
      <c r="A154" t="s">
        <v>321</v>
      </c>
      <c r="B154" t="s">
        <v>322</v>
      </c>
      <c r="C154" t="s">
        <v>54</v>
      </c>
      <c r="D154" t="s">
        <v>18</v>
      </c>
      <c r="E154" t="s">
        <v>57</v>
      </c>
      <c r="F154" s="1">
        <v>19124.21</v>
      </c>
      <c r="G154">
        <v>8</v>
      </c>
      <c r="H154" s="1">
        <v>3570.71</v>
      </c>
      <c r="I154" t="s">
        <v>23</v>
      </c>
      <c r="J154">
        <f>YEAR(Retail_Data[Order_Date])</f>
        <v>2024</v>
      </c>
      <c r="K154" t="str">
        <f>TEXT(Retail_Data[Order_Date],"MMM")</f>
        <v>Oct</v>
      </c>
    </row>
    <row r="155" spans="1:11" x14ac:dyDescent="0.3">
      <c r="A155" t="s">
        <v>323</v>
      </c>
      <c r="B155" t="s">
        <v>178</v>
      </c>
      <c r="C155" t="s">
        <v>54</v>
      </c>
      <c r="D155" t="s">
        <v>18</v>
      </c>
      <c r="E155" t="s">
        <v>13</v>
      </c>
      <c r="F155" s="1">
        <v>6835.38</v>
      </c>
      <c r="G155">
        <v>10</v>
      </c>
      <c r="H155" s="1">
        <v>1607.52</v>
      </c>
      <c r="I155" t="s">
        <v>14</v>
      </c>
      <c r="J155">
        <f>YEAR(Retail_Data[Order_Date])</f>
        <v>2024</v>
      </c>
      <c r="K155" t="str">
        <f>TEXT(Retail_Data[Order_Date],"MMM")</f>
        <v>May</v>
      </c>
    </row>
    <row r="156" spans="1:11" x14ac:dyDescent="0.3">
      <c r="A156" t="s">
        <v>324</v>
      </c>
      <c r="B156" t="s">
        <v>325</v>
      </c>
      <c r="C156" t="s">
        <v>49</v>
      </c>
      <c r="D156" t="s">
        <v>12</v>
      </c>
      <c r="E156" t="s">
        <v>27</v>
      </c>
      <c r="F156" s="1">
        <v>13795.26</v>
      </c>
      <c r="G156">
        <v>9</v>
      </c>
      <c r="H156" s="1">
        <v>1767.23</v>
      </c>
      <c r="I156" t="s">
        <v>14</v>
      </c>
      <c r="J156">
        <f>YEAR(Retail_Data[Order_Date])</f>
        <v>2024</v>
      </c>
      <c r="K156" t="str">
        <f>TEXT(Retail_Data[Order_Date],"MMM")</f>
        <v>Jan</v>
      </c>
    </row>
    <row r="157" spans="1:11" x14ac:dyDescent="0.3">
      <c r="A157" t="s">
        <v>326</v>
      </c>
      <c r="B157" t="s">
        <v>327</v>
      </c>
      <c r="C157" t="s">
        <v>38</v>
      </c>
      <c r="D157" t="s">
        <v>39</v>
      </c>
      <c r="E157" t="s">
        <v>27</v>
      </c>
      <c r="F157" s="1">
        <v>38119.18</v>
      </c>
      <c r="G157">
        <v>10</v>
      </c>
      <c r="H157" s="1">
        <v>6983.96</v>
      </c>
      <c r="I157" t="s">
        <v>23</v>
      </c>
      <c r="J157">
        <f>YEAR(Retail_Data[Order_Date])</f>
        <v>2024</v>
      </c>
      <c r="K157" t="str">
        <f>TEXT(Retail_Data[Order_Date],"MMM")</f>
        <v>May</v>
      </c>
    </row>
    <row r="158" spans="1:11" x14ac:dyDescent="0.3">
      <c r="A158" t="s">
        <v>328</v>
      </c>
      <c r="B158" t="s">
        <v>329</v>
      </c>
      <c r="C158" t="s">
        <v>62</v>
      </c>
      <c r="D158" t="s">
        <v>34</v>
      </c>
      <c r="E158" t="s">
        <v>27</v>
      </c>
      <c r="F158" s="1">
        <v>26080.38</v>
      </c>
      <c r="G158">
        <v>6</v>
      </c>
      <c r="H158" s="1">
        <v>4681.4799999999996</v>
      </c>
      <c r="I158" t="s">
        <v>35</v>
      </c>
      <c r="J158">
        <f>YEAR(Retail_Data[Order_Date])</f>
        <v>2024</v>
      </c>
      <c r="K158" t="str">
        <f>TEXT(Retail_Data[Order_Date],"MMM")</f>
        <v>Dec</v>
      </c>
    </row>
    <row r="159" spans="1:11" x14ac:dyDescent="0.3">
      <c r="A159" t="s">
        <v>330</v>
      </c>
      <c r="B159" t="s">
        <v>156</v>
      </c>
      <c r="C159" t="s">
        <v>30</v>
      </c>
      <c r="D159" t="s">
        <v>12</v>
      </c>
      <c r="E159" t="s">
        <v>57</v>
      </c>
      <c r="F159" s="1">
        <v>32689.25</v>
      </c>
      <c r="G159">
        <v>7</v>
      </c>
      <c r="H159" s="1">
        <v>3894.72</v>
      </c>
      <c r="I159" t="s">
        <v>35</v>
      </c>
      <c r="J159">
        <f>YEAR(Retail_Data[Order_Date])</f>
        <v>2024</v>
      </c>
      <c r="K159" t="str">
        <f>TEXT(Retail_Data[Order_Date],"MMM")</f>
        <v>Aug</v>
      </c>
    </row>
    <row r="160" spans="1:11" x14ac:dyDescent="0.3">
      <c r="A160" t="s">
        <v>331</v>
      </c>
      <c r="B160" t="s">
        <v>332</v>
      </c>
      <c r="C160" t="s">
        <v>17</v>
      </c>
      <c r="D160" t="s">
        <v>18</v>
      </c>
      <c r="E160" t="s">
        <v>22</v>
      </c>
      <c r="F160" s="1">
        <v>27431.15</v>
      </c>
      <c r="G160">
        <v>8</v>
      </c>
      <c r="H160" s="1">
        <v>5740.84</v>
      </c>
      <c r="I160" t="s">
        <v>35</v>
      </c>
      <c r="J160">
        <f>YEAR(Retail_Data[Order_Date])</f>
        <v>2024</v>
      </c>
      <c r="K160" t="str">
        <f>TEXT(Retail_Data[Order_Date],"MMM")</f>
        <v>Mar</v>
      </c>
    </row>
    <row r="161" spans="1:11" x14ac:dyDescent="0.3">
      <c r="A161" t="s">
        <v>333</v>
      </c>
      <c r="B161" t="s">
        <v>334</v>
      </c>
      <c r="C161" t="s">
        <v>30</v>
      </c>
      <c r="D161" t="s">
        <v>12</v>
      </c>
      <c r="E161" t="s">
        <v>57</v>
      </c>
      <c r="F161" s="1">
        <v>18445.54</v>
      </c>
      <c r="G161">
        <v>8</v>
      </c>
      <c r="H161" s="1">
        <v>2291.2399999999998</v>
      </c>
      <c r="I161" t="s">
        <v>23</v>
      </c>
      <c r="J161">
        <f>YEAR(Retail_Data[Order_Date])</f>
        <v>2024</v>
      </c>
      <c r="K161" t="str">
        <f>TEXT(Retail_Data[Order_Date],"MMM")</f>
        <v>Aug</v>
      </c>
    </row>
    <row r="162" spans="1:11" x14ac:dyDescent="0.3">
      <c r="A162" t="s">
        <v>335</v>
      </c>
      <c r="B162" t="s">
        <v>336</v>
      </c>
      <c r="C162" t="s">
        <v>17</v>
      </c>
      <c r="D162" t="s">
        <v>18</v>
      </c>
      <c r="E162" t="s">
        <v>22</v>
      </c>
      <c r="F162" s="1">
        <v>38821</v>
      </c>
      <c r="G162">
        <v>3</v>
      </c>
      <c r="H162" s="1">
        <v>5172.72</v>
      </c>
      <c r="I162" t="s">
        <v>35</v>
      </c>
      <c r="J162">
        <f>YEAR(Retail_Data[Order_Date])</f>
        <v>2024</v>
      </c>
      <c r="K162" t="str">
        <f>TEXT(Retail_Data[Order_Date],"MMM")</f>
        <v>May</v>
      </c>
    </row>
    <row r="163" spans="1:11" x14ac:dyDescent="0.3">
      <c r="A163" t="s">
        <v>337</v>
      </c>
      <c r="B163" t="s">
        <v>53</v>
      </c>
      <c r="C163" t="s">
        <v>62</v>
      </c>
      <c r="D163" t="s">
        <v>34</v>
      </c>
      <c r="E163" t="s">
        <v>27</v>
      </c>
      <c r="F163" s="1">
        <v>3508.91</v>
      </c>
      <c r="G163">
        <v>4</v>
      </c>
      <c r="H163" s="1">
        <v>366.41</v>
      </c>
      <c r="I163" t="s">
        <v>35</v>
      </c>
      <c r="J163">
        <f>YEAR(Retail_Data[Order_Date])</f>
        <v>2024</v>
      </c>
      <c r="K163" t="str">
        <f>TEXT(Retail_Data[Order_Date],"MMM")</f>
        <v>Sep</v>
      </c>
    </row>
    <row r="164" spans="1:11" x14ac:dyDescent="0.3">
      <c r="A164" t="s">
        <v>338</v>
      </c>
      <c r="B164" t="s">
        <v>64</v>
      </c>
      <c r="C164" t="s">
        <v>11</v>
      </c>
      <c r="D164" t="s">
        <v>12</v>
      </c>
      <c r="E164" t="s">
        <v>22</v>
      </c>
      <c r="F164" s="1">
        <v>19858.05</v>
      </c>
      <c r="G164">
        <v>4</v>
      </c>
      <c r="H164" s="1">
        <v>2957.01</v>
      </c>
      <c r="I164" t="s">
        <v>23</v>
      </c>
      <c r="J164">
        <f>YEAR(Retail_Data[Order_Date])</f>
        <v>2024</v>
      </c>
      <c r="K164" t="str">
        <f>TEXT(Retail_Data[Order_Date],"MMM")</f>
        <v>Aug</v>
      </c>
    </row>
    <row r="165" spans="1:11" x14ac:dyDescent="0.3">
      <c r="A165" t="s">
        <v>339</v>
      </c>
      <c r="B165" t="s">
        <v>340</v>
      </c>
      <c r="C165" t="s">
        <v>21</v>
      </c>
      <c r="D165" t="s">
        <v>18</v>
      </c>
      <c r="E165" t="s">
        <v>27</v>
      </c>
      <c r="F165" s="1">
        <v>42599.41</v>
      </c>
      <c r="G165">
        <v>8</v>
      </c>
      <c r="H165" s="1">
        <v>8373.2199999999993</v>
      </c>
      <c r="I165" t="s">
        <v>35</v>
      </c>
      <c r="J165">
        <f>YEAR(Retail_Data[Order_Date])</f>
        <v>2024</v>
      </c>
      <c r="K165" t="str">
        <f>TEXT(Retail_Data[Order_Date],"MMM")</f>
        <v>Feb</v>
      </c>
    </row>
    <row r="166" spans="1:11" x14ac:dyDescent="0.3">
      <c r="A166" t="s">
        <v>341</v>
      </c>
      <c r="B166" t="s">
        <v>342</v>
      </c>
      <c r="C166" t="s">
        <v>69</v>
      </c>
      <c r="D166" t="s">
        <v>34</v>
      </c>
      <c r="E166" t="s">
        <v>22</v>
      </c>
      <c r="F166" s="1">
        <v>29045.75</v>
      </c>
      <c r="G166">
        <v>1</v>
      </c>
      <c r="H166" s="1">
        <v>5460.45</v>
      </c>
      <c r="I166" t="s">
        <v>35</v>
      </c>
      <c r="J166">
        <f>YEAR(Retail_Data[Order_Date])</f>
        <v>2024</v>
      </c>
      <c r="K166" t="str">
        <f>TEXT(Retail_Data[Order_Date],"MMM")</f>
        <v>Apr</v>
      </c>
    </row>
    <row r="167" spans="1:11" x14ac:dyDescent="0.3">
      <c r="A167" t="s">
        <v>343</v>
      </c>
      <c r="B167" t="s">
        <v>344</v>
      </c>
      <c r="C167" t="s">
        <v>141</v>
      </c>
      <c r="D167" t="s">
        <v>39</v>
      </c>
      <c r="E167" t="s">
        <v>22</v>
      </c>
      <c r="F167" s="1">
        <v>35397.94</v>
      </c>
      <c r="G167">
        <v>4</v>
      </c>
      <c r="H167" s="1">
        <v>7695.37</v>
      </c>
      <c r="I167" t="s">
        <v>35</v>
      </c>
      <c r="J167">
        <f>YEAR(Retail_Data[Order_Date])</f>
        <v>2024</v>
      </c>
      <c r="K167" t="str">
        <f>TEXT(Retail_Data[Order_Date],"MMM")</f>
        <v>Sep</v>
      </c>
    </row>
    <row r="168" spans="1:11" x14ac:dyDescent="0.3">
      <c r="A168" t="s">
        <v>345</v>
      </c>
      <c r="B168" t="s">
        <v>346</v>
      </c>
      <c r="C168" t="s">
        <v>74</v>
      </c>
      <c r="D168" t="s">
        <v>18</v>
      </c>
      <c r="E168" t="s">
        <v>57</v>
      </c>
      <c r="F168" s="1">
        <v>27594.92</v>
      </c>
      <c r="G168">
        <v>8</v>
      </c>
      <c r="H168" s="1">
        <v>6177.88</v>
      </c>
      <c r="I168" t="s">
        <v>23</v>
      </c>
      <c r="J168">
        <f>YEAR(Retail_Data[Order_Date])</f>
        <v>2024</v>
      </c>
      <c r="K168" t="str">
        <f>TEXT(Retail_Data[Order_Date],"MMM")</f>
        <v>Apr</v>
      </c>
    </row>
    <row r="169" spans="1:11" x14ac:dyDescent="0.3">
      <c r="A169" t="s">
        <v>347</v>
      </c>
      <c r="B169" t="s">
        <v>348</v>
      </c>
      <c r="C169" t="s">
        <v>54</v>
      </c>
      <c r="D169" t="s">
        <v>18</v>
      </c>
      <c r="E169" t="s">
        <v>13</v>
      </c>
      <c r="F169" s="1">
        <v>17698.2</v>
      </c>
      <c r="G169">
        <v>2</v>
      </c>
      <c r="H169" s="1">
        <v>1003.73</v>
      </c>
      <c r="I169" t="s">
        <v>14</v>
      </c>
      <c r="J169">
        <f>YEAR(Retail_Data[Order_Date])</f>
        <v>2024</v>
      </c>
      <c r="K169" t="str">
        <f>TEXT(Retail_Data[Order_Date],"MMM")</f>
        <v>Nov</v>
      </c>
    </row>
    <row r="170" spans="1:11" x14ac:dyDescent="0.3">
      <c r="A170" t="s">
        <v>349</v>
      </c>
      <c r="B170" t="s">
        <v>350</v>
      </c>
      <c r="C170" t="s">
        <v>38</v>
      </c>
      <c r="D170" t="s">
        <v>39</v>
      </c>
      <c r="E170" t="s">
        <v>27</v>
      </c>
      <c r="F170" s="1">
        <v>42260.54</v>
      </c>
      <c r="G170">
        <v>4</v>
      </c>
      <c r="H170" s="1">
        <v>5375.14</v>
      </c>
      <c r="I170" t="s">
        <v>35</v>
      </c>
      <c r="J170">
        <f>YEAR(Retail_Data[Order_Date])</f>
        <v>2024</v>
      </c>
      <c r="K170" t="str">
        <f>TEXT(Retail_Data[Order_Date],"MMM")</f>
        <v>Sep</v>
      </c>
    </row>
    <row r="171" spans="1:11" x14ac:dyDescent="0.3">
      <c r="A171" t="s">
        <v>351</v>
      </c>
      <c r="B171" t="s">
        <v>352</v>
      </c>
      <c r="C171" t="s">
        <v>17</v>
      </c>
      <c r="D171" t="s">
        <v>18</v>
      </c>
      <c r="E171" t="s">
        <v>57</v>
      </c>
      <c r="F171" s="1">
        <v>14143.63</v>
      </c>
      <c r="G171">
        <v>3</v>
      </c>
      <c r="H171" s="1">
        <v>2559.4499999999998</v>
      </c>
      <c r="I171" t="s">
        <v>14</v>
      </c>
      <c r="J171">
        <f>YEAR(Retail_Data[Order_Date])</f>
        <v>2024</v>
      </c>
      <c r="K171" t="str">
        <f>TEXT(Retail_Data[Order_Date],"MMM")</f>
        <v>Jan</v>
      </c>
    </row>
    <row r="172" spans="1:11" x14ac:dyDescent="0.3">
      <c r="A172" t="s">
        <v>353</v>
      </c>
      <c r="B172" t="s">
        <v>264</v>
      </c>
      <c r="C172" t="s">
        <v>21</v>
      </c>
      <c r="D172" t="s">
        <v>18</v>
      </c>
      <c r="E172" t="s">
        <v>27</v>
      </c>
      <c r="F172" s="1">
        <v>15738.24</v>
      </c>
      <c r="G172">
        <v>6</v>
      </c>
      <c r="H172" s="1">
        <v>3878.93</v>
      </c>
      <c r="I172" t="s">
        <v>35</v>
      </c>
      <c r="J172">
        <f>YEAR(Retail_Data[Order_Date])</f>
        <v>2024</v>
      </c>
      <c r="K172" t="str">
        <f>TEXT(Retail_Data[Order_Date],"MMM")</f>
        <v>Jun</v>
      </c>
    </row>
    <row r="173" spans="1:11" x14ac:dyDescent="0.3">
      <c r="A173" t="s">
        <v>354</v>
      </c>
      <c r="B173" t="s">
        <v>64</v>
      </c>
      <c r="C173" t="s">
        <v>26</v>
      </c>
      <c r="D173" t="s">
        <v>12</v>
      </c>
      <c r="E173" t="s">
        <v>57</v>
      </c>
      <c r="F173" s="1">
        <v>32372.47</v>
      </c>
      <c r="G173">
        <v>5</v>
      </c>
      <c r="H173" s="1">
        <v>4838.76</v>
      </c>
      <c r="I173" t="s">
        <v>14</v>
      </c>
      <c r="J173">
        <f>YEAR(Retail_Data[Order_Date])</f>
        <v>2024</v>
      </c>
      <c r="K173" t="str">
        <f>TEXT(Retail_Data[Order_Date],"MMM")</f>
        <v>Aug</v>
      </c>
    </row>
    <row r="174" spans="1:11" x14ac:dyDescent="0.3">
      <c r="A174" t="s">
        <v>355</v>
      </c>
      <c r="B174" t="s">
        <v>356</v>
      </c>
      <c r="C174" t="s">
        <v>30</v>
      </c>
      <c r="D174" t="s">
        <v>12</v>
      </c>
      <c r="E174" t="s">
        <v>57</v>
      </c>
      <c r="F174" s="1">
        <v>32405.52</v>
      </c>
      <c r="G174">
        <v>7</v>
      </c>
      <c r="H174" s="1">
        <v>6408.49</v>
      </c>
      <c r="I174" t="s">
        <v>35</v>
      </c>
      <c r="J174">
        <f>YEAR(Retail_Data[Order_Date])</f>
        <v>2024</v>
      </c>
      <c r="K174" t="str">
        <f>TEXT(Retail_Data[Order_Date],"MMM")</f>
        <v>Oct</v>
      </c>
    </row>
    <row r="175" spans="1:11" x14ac:dyDescent="0.3">
      <c r="A175" t="s">
        <v>357</v>
      </c>
      <c r="B175" t="s">
        <v>306</v>
      </c>
      <c r="C175" t="s">
        <v>17</v>
      </c>
      <c r="D175" t="s">
        <v>18</v>
      </c>
      <c r="E175" t="s">
        <v>13</v>
      </c>
      <c r="F175" s="1">
        <v>23156.59</v>
      </c>
      <c r="G175">
        <v>1</v>
      </c>
      <c r="H175" s="1">
        <v>4824.6000000000004</v>
      </c>
      <c r="I175" t="s">
        <v>23</v>
      </c>
      <c r="J175">
        <f>YEAR(Retail_Data[Order_Date])</f>
        <v>2024</v>
      </c>
      <c r="K175" t="str">
        <f>TEXT(Retail_Data[Order_Date],"MMM")</f>
        <v>Dec</v>
      </c>
    </row>
    <row r="176" spans="1:11" x14ac:dyDescent="0.3">
      <c r="A176" t="s">
        <v>358</v>
      </c>
      <c r="B176" t="s">
        <v>205</v>
      </c>
      <c r="C176" t="s">
        <v>33</v>
      </c>
      <c r="D176" t="s">
        <v>34</v>
      </c>
      <c r="E176" t="s">
        <v>13</v>
      </c>
      <c r="F176" s="1">
        <v>35390.51</v>
      </c>
      <c r="G176">
        <v>6</v>
      </c>
      <c r="H176" s="1">
        <v>7778.97</v>
      </c>
      <c r="I176" t="s">
        <v>35</v>
      </c>
      <c r="J176">
        <f>YEAR(Retail_Data[Order_Date])</f>
        <v>2024</v>
      </c>
      <c r="K176" t="str">
        <f>TEXT(Retail_Data[Order_Date],"MMM")</f>
        <v>Jan</v>
      </c>
    </row>
    <row r="177" spans="1:11" x14ac:dyDescent="0.3">
      <c r="A177" t="s">
        <v>359</v>
      </c>
      <c r="B177" t="s">
        <v>198</v>
      </c>
      <c r="C177" t="s">
        <v>38</v>
      </c>
      <c r="D177" t="s">
        <v>39</v>
      </c>
      <c r="E177" t="s">
        <v>13</v>
      </c>
      <c r="F177" s="1">
        <v>15272.07</v>
      </c>
      <c r="G177">
        <v>5</v>
      </c>
      <c r="H177" s="1">
        <v>1254.43</v>
      </c>
      <c r="I177" t="s">
        <v>35</v>
      </c>
      <c r="J177">
        <f>YEAR(Retail_Data[Order_Date])</f>
        <v>2024</v>
      </c>
      <c r="K177" t="str">
        <f>TEXT(Retail_Data[Order_Date],"MMM")</f>
        <v>Sep</v>
      </c>
    </row>
    <row r="178" spans="1:11" x14ac:dyDescent="0.3">
      <c r="A178" t="s">
        <v>360</v>
      </c>
      <c r="B178" t="s">
        <v>212</v>
      </c>
      <c r="C178" t="s">
        <v>93</v>
      </c>
      <c r="D178" t="s">
        <v>39</v>
      </c>
      <c r="E178" t="s">
        <v>27</v>
      </c>
      <c r="F178" s="1">
        <v>31924.84</v>
      </c>
      <c r="G178">
        <v>8</v>
      </c>
      <c r="H178" s="1">
        <v>2879.56</v>
      </c>
      <c r="I178" t="s">
        <v>23</v>
      </c>
      <c r="J178">
        <f>YEAR(Retail_Data[Order_Date])</f>
        <v>2024</v>
      </c>
      <c r="K178" t="str">
        <f>TEXT(Retail_Data[Order_Date],"MMM")</f>
        <v>Nov</v>
      </c>
    </row>
    <row r="179" spans="1:11" x14ac:dyDescent="0.3">
      <c r="A179" t="s">
        <v>361</v>
      </c>
      <c r="B179" t="s">
        <v>362</v>
      </c>
      <c r="C179" t="s">
        <v>26</v>
      </c>
      <c r="D179" t="s">
        <v>12</v>
      </c>
      <c r="E179" t="s">
        <v>22</v>
      </c>
      <c r="F179" s="1">
        <v>25517.37</v>
      </c>
      <c r="G179">
        <v>10</v>
      </c>
      <c r="H179" s="1">
        <v>4421.72</v>
      </c>
      <c r="I179" t="s">
        <v>35</v>
      </c>
      <c r="J179">
        <f>YEAR(Retail_Data[Order_Date])</f>
        <v>2024</v>
      </c>
      <c r="K179" t="str">
        <f>TEXT(Retail_Data[Order_Date],"MMM")</f>
        <v>Jul</v>
      </c>
    </row>
    <row r="180" spans="1:11" x14ac:dyDescent="0.3">
      <c r="A180" t="s">
        <v>363</v>
      </c>
      <c r="B180" t="s">
        <v>364</v>
      </c>
      <c r="C180" t="s">
        <v>54</v>
      </c>
      <c r="D180" t="s">
        <v>18</v>
      </c>
      <c r="E180" t="s">
        <v>27</v>
      </c>
      <c r="F180" s="1">
        <v>21642.82</v>
      </c>
      <c r="G180">
        <v>4</v>
      </c>
      <c r="H180" s="1">
        <v>4771.22</v>
      </c>
      <c r="I180" t="s">
        <v>14</v>
      </c>
      <c r="J180">
        <f>YEAR(Retail_Data[Order_Date])</f>
        <v>2024</v>
      </c>
      <c r="K180" t="str">
        <f>TEXT(Retail_Data[Order_Date],"MMM")</f>
        <v>Apr</v>
      </c>
    </row>
    <row r="181" spans="1:11" x14ac:dyDescent="0.3">
      <c r="A181" t="s">
        <v>365</v>
      </c>
      <c r="B181" t="s">
        <v>366</v>
      </c>
      <c r="C181" t="s">
        <v>38</v>
      </c>
      <c r="D181" t="s">
        <v>39</v>
      </c>
      <c r="E181" t="s">
        <v>22</v>
      </c>
      <c r="F181" s="1">
        <v>38115.64</v>
      </c>
      <c r="G181">
        <v>7</v>
      </c>
      <c r="H181" s="1">
        <v>8983.42</v>
      </c>
      <c r="I181" t="s">
        <v>23</v>
      </c>
      <c r="J181">
        <f>YEAR(Retail_Data[Order_Date])</f>
        <v>2024</v>
      </c>
      <c r="K181" t="str">
        <f>TEXT(Retail_Data[Order_Date],"MMM")</f>
        <v>Sep</v>
      </c>
    </row>
    <row r="182" spans="1:11" x14ac:dyDescent="0.3">
      <c r="A182" t="s">
        <v>367</v>
      </c>
      <c r="B182" t="s">
        <v>368</v>
      </c>
      <c r="C182" t="s">
        <v>26</v>
      </c>
      <c r="D182" t="s">
        <v>12</v>
      </c>
      <c r="E182" t="s">
        <v>22</v>
      </c>
      <c r="F182" s="1">
        <v>25139.8</v>
      </c>
      <c r="G182">
        <v>9</v>
      </c>
      <c r="H182" s="1">
        <v>1604.24</v>
      </c>
      <c r="I182" t="s">
        <v>23</v>
      </c>
      <c r="J182">
        <f>YEAR(Retail_Data[Order_Date])</f>
        <v>2024</v>
      </c>
      <c r="K182" t="str">
        <f>TEXT(Retail_Data[Order_Date],"MMM")</f>
        <v>Sep</v>
      </c>
    </row>
    <row r="183" spans="1:11" x14ac:dyDescent="0.3">
      <c r="A183" t="s">
        <v>369</v>
      </c>
      <c r="B183" t="s">
        <v>370</v>
      </c>
      <c r="C183" t="s">
        <v>11</v>
      </c>
      <c r="D183" t="s">
        <v>12</v>
      </c>
      <c r="E183" t="s">
        <v>27</v>
      </c>
      <c r="F183" s="1">
        <v>9375.59</v>
      </c>
      <c r="G183">
        <v>4</v>
      </c>
      <c r="H183" s="1">
        <v>2161.81</v>
      </c>
      <c r="I183" t="s">
        <v>23</v>
      </c>
      <c r="J183">
        <f>YEAR(Retail_Data[Order_Date])</f>
        <v>2024</v>
      </c>
      <c r="K183" t="str">
        <f>TEXT(Retail_Data[Order_Date],"MMM")</f>
        <v>Jul</v>
      </c>
    </row>
    <row r="184" spans="1:11" x14ac:dyDescent="0.3">
      <c r="A184" t="s">
        <v>371</v>
      </c>
      <c r="B184" t="s">
        <v>372</v>
      </c>
      <c r="C184" t="s">
        <v>74</v>
      </c>
      <c r="D184" t="s">
        <v>18</v>
      </c>
      <c r="E184" t="s">
        <v>27</v>
      </c>
      <c r="F184" s="1">
        <v>16110.18</v>
      </c>
      <c r="G184">
        <v>2</v>
      </c>
      <c r="H184" s="1">
        <v>3853.32</v>
      </c>
      <c r="I184" t="s">
        <v>23</v>
      </c>
      <c r="J184">
        <f>YEAR(Retail_Data[Order_Date])</f>
        <v>2024</v>
      </c>
      <c r="K184" t="str">
        <f>TEXT(Retail_Data[Order_Date],"MMM")</f>
        <v>Feb</v>
      </c>
    </row>
    <row r="185" spans="1:11" x14ac:dyDescent="0.3">
      <c r="A185" t="s">
        <v>373</v>
      </c>
      <c r="B185" t="s">
        <v>160</v>
      </c>
      <c r="C185" t="s">
        <v>26</v>
      </c>
      <c r="D185" t="s">
        <v>12</v>
      </c>
      <c r="E185" t="s">
        <v>22</v>
      </c>
      <c r="F185" s="1">
        <v>9660.6200000000008</v>
      </c>
      <c r="G185">
        <v>2</v>
      </c>
      <c r="H185" s="1">
        <v>1887.85</v>
      </c>
      <c r="I185" t="s">
        <v>35</v>
      </c>
      <c r="J185">
        <f>YEAR(Retail_Data[Order_Date])</f>
        <v>2024</v>
      </c>
      <c r="K185" t="str">
        <f>TEXT(Retail_Data[Order_Date],"MMM")</f>
        <v>May</v>
      </c>
    </row>
    <row r="186" spans="1:11" x14ac:dyDescent="0.3">
      <c r="A186" t="s">
        <v>374</v>
      </c>
      <c r="B186" t="s">
        <v>344</v>
      </c>
      <c r="C186" t="s">
        <v>62</v>
      </c>
      <c r="D186" t="s">
        <v>34</v>
      </c>
      <c r="E186" t="s">
        <v>27</v>
      </c>
      <c r="F186" s="1">
        <v>33897.68</v>
      </c>
      <c r="G186">
        <v>9</v>
      </c>
      <c r="H186" s="1">
        <v>2446.98</v>
      </c>
      <c r="I186" t="s">
        <v>14</v>
      </c>
      <c r="J186">
        <f>YEAR(Retail_Data[Order_Date])</f>
        <v>2024</v>
      </c>
      <c r="K186" t="str">
        <f>TEXT(Retail_Data[Order_Date],"MMM")</f>
        <v>Sep</v>
      </c>
    </row>
    <row r="187" spans="1:11" x14ac:dyDescent="0.3">
      <c r="A187" t="s">
        <v>375</v>
      </c>
      <c r="B187" t="s">
        <v>376</v>
      </c>
      <c r="C187" t="s">
        <v>17</v>
      </c>
      <c r="D187" t="s">
        <v>18</v>
      </c>
      <c r="E187" t="s">
        <v>22</v>
      </c>
      <c r="F187" s="1">
        <v>49394.9</v>
      </c>
      <c r="G187">
        <v>2</v>
      </c>
      <c r="H187" s="1">
        <v>2624.48</v>
      </c>
      <c r="I187" t="s">
        <v>35</v>
      </c>
      <c r="J187">
        <f>YEAR(Retail_Data[Order_Date])</f>
        <v>2024</v>
      </c>
      <c r="K187" t="str">
        <f>TEXT(Retail_Data[Order_Date],"MMM")</f>
        <v>Mar</v>
      </c>
    </row>
    <row r="188" spans="1:11" x14ac:dyDescent="0.3">
      <c r="A188" t="s">
        <v>377</v>
      </c>
      <c r="B188" t="s">
        <v>378</v>
      </c>
      <c r="C188" t="s">
        <v>69</v>
      </c>
      <c r="D188" t="s">
        <v>34</v>
      </c>
      <c r="E188" t="s">
        <v>22</v>
      </c>
      <c r="F188" s="1">
        <v>7605.28</v>
      </c>
      <c r="G188">
        <v>6</v>
      </c>
      <c r="H188" s="1">
        <v>762.66</v>
      </c>
      <c r="I188" t="s">
        <v>23</v>
      </c>
      <c r="J188">
        <f>YEAR(Retail_Data[Order_Date])</f>
        <v>2024</v>
      </c>
      <c r="K188" t="str">
        <f>TEXT(Retail_Data[Order_Date],"MMM")</f>
        <v>Feb</v>
      </c>
    </row>
    <row r="189" spans="1:11" x14ac:dyDescent="0.3">
      <c r="A189" t="s">
        <v>379</v>
      </c>
      <c r="B189" t="s">
        <v>380</v>
      </c>
      <c r="C189" t="s">
        <v>69</v>
      </c>
      <c r="D189" t="s">
        <v>34</v>
      </c>
      <c r="E189" t="s">
        <v>13</v>
      </c>
      <c r="F189" s="1">
        <v>37862.269999999997</v>
      </c>
      <c r="G189">
        <v>7</v>
      </c>
      <c r="H189" s="1">
        <v>3803.28</v>
      </c>
      <c r="I189" t="s">
        <v>23</v>
      </c>
      <c r="J189">
        <f>YEAR(Retail_Data[Order_Date])</f>
        <v>2024</v>
      </c>
      <c r="K189" t="str">
        <f>TEXT(Retail_Data[Order_Date],"MMM")</f>
        <v>Jul</v>
      </c>
    </row>
    <row r="190" spans="1:11" x14ac:dyDescent="0.3">
      <c r="A190" t="s">
        <v>381</v>
      </c>
      <c r="B190" t="s">
        <v>382</v>
      </c>
      <c r="C190" t="s">
        <v>109</v>
      </c>
      <c r="D190" t="s">
        <v>34</v>
      </c>
      <c r="E190" t="s">
        <v>22</v>
      </c>
      <c r="F190" s="1">
        <v>44399.45</v>
      </c>
      <c r="G190">
        <v>3</v>
      </c>
      <c r="H190" s="1">
        <v>7357.02</v>
      </c>
      <c r="I190" t="s">
        <v>14</v>
      </c>
      <c r="J190">
        <f>YEAR(Retail_Data[Order_Date])</f>
        <v>2024</v>
      </c>
      <c r="K190" t="str">
        <f>TEXT(Retail_Data[Order_Date],"MMM")</f>
        <v>Jan</v>
      </c>
    </row>
    <row r="191" spans="1:11" x14ac:dyDescent="0.3">
      <c r="A191" t="s">
        <v>383</v>
      </c>
      <c r="B191" t="s">
        <v>384</v>
      </c>
      <c r="C191" t="s">
        <v>54</v>
      </c>
      <c r="D191" t="s">
        <v>18</v>
      </c>
      <c r="E191" t="s">
        <v>22</v>
      </c>
      <c r="F191" s="1">
        <v>19309.28</v>
      </c>
      <c r="G191">
        <v>5</v>
      </c>
      <c r="H191" s="1">
        <v>4168.1400000000003</v>
      </c>
      <c r="I191" t="s">
        <v>14</v>
      </c>
      <c r="J191">
        <f>YEAR(Retail_Data[Order_Date])</f>
        <v>2024</v>
      </c>
      <c r="K191" t="str">
        <f>TEXT(Retail_Data[Order_Date],"MMM")</f>
        <v>Apr</v>
      </c>
    </row>
    <row r="192" spans="1:11" x14ac:dyDescent="0.3">
      <c r="A192" t="s">
        <v>385</v>
      </c>
      <c r="B192" t="s">
        <v>25</v>
      </c>
      <c r="C192" t="s">
        <v>69</v>
      </c>
      <c r="D192" t="s">
        <v>34</v>
      </c>
      <c r="E192" t="s">
        <v>22</v>
      </c>
      <c r="F192" s="1">
        <v>45699.86</v>
      </c>
      <c r="G192">
        <v>3</v>
      </c>
      <c r="H192" s="1">
        <v>8695.68</v>
      </c>
      <c r="I192" t="s">
        <v>14</v>
      </c>
      <c r="J192">
        <f>YEAR(Retail_Data[Order_Date])</f>
        <v>2024</v>
      </c>
      <c r="K192" t="str">
        <f>TEXT(Retail_Data[Order_Date],"MMM")</f>
        <v>Nov</v>
      </c>
    </row>
    <row r="193" spans="1:11" x14ac:dyDescent="0.3">
      <c r="A193" t="s">
        <v>386</v>
      </c>
      <c r="B193" t="s">
        <v>387</v>
      </c>
      <c r="C193" t="s">
        <v>17</v>
      </c>
      <c r="D193" t="s">
        <v>18</v>
      </c>
      <c r="E193" t="s">
        <v>27</v>
      </c>
      <c r="F193" s="1">
        <v>19156.240000000002</v>
      </c>
      <c r="G193">
        <v>2</v>
      </c>
      <c r="H193" s="1">
        <v>1938.9</v>
      </c>
      <c r="I193" t="s">
        <v>35</v>
      </c>
      <c r="J193">
        <f>YEAR(Retail_Data[Order_Date])</f>
        <v>2024</v>
      </c>
      <c r="K193" t="str">
        <f>TEXT(Retail_Data[Order_Date],"MMM")</f>
        <v>Oct</v>
      </c>
    </row>
    <row r="194" spans="1:11" x14ac:dyDescent="0.3">
      <c r="A194" t="s">
        <v>388</v>
      </c>
      <c r="B194" t="s">
        <v>350</v>
      </c>
      <c r="C194" t="s">
        <v>17</v>
      </c>
      <c r="D194" t="s">
        <v>18</v>
      </c>
      <c r="E194" t="s">
        <v>27</v>
      </c>
      <c r="F194" s="1">
        <v>37507.06</v>
      </c>
      <c r="G194">
        <v>5</v>
      </c>
      <c r="H194" s="1">
        <v>6443.08</v>
      </c>
      <c r="I194" t="s">
        <v>23</v>
      </c>
      <c r="J194">
        <f>YEAR(Retail_Data[Order_Date])</f>
        <v>2024</v>
      </c>
      <c r="K194" t="str">
        <f>TEXT(Retail_Data[Order_Date],"MMM")</f>
        <v>Sep</v>
      </c>
    </row>
    <row r="195" spans="1:11" x14ac:dyDescent="0.3">
      <c r="A195" t="s">
        <v>389</v>
      </c>
      <c r="B195" t="s">
        <v>368</v>
      </c>
      <c r="C195" t="s">
        <v>17</v>
      </c>
      <c r="D195" t="s">
        <v>18</v>
      </c>
      <c r="E195" t="s">
        <v>22</v>
      </c>
      <c r="F195" s="1">
        <v>30326.51</v>
      </c>
      <c r="G195">
        <v>2</v>
      </c>
      <c r="H195" s="1">
        <v>2698.24</v>
      </c>
      <c r="I195" t="s">
        <v>35</v>
      </c>
      <c r="J195">
        <f>YEAR(Retail_Data[Order_Date])</f>
        <v>2024</v>
      </c>
      <c r="K195" t="str">
        <f>TEXT(Retail_Data[Order_Date],"MMM")</f>
        <v>Sep</v>
      </c>
    </row>
    <row r="196" spans="1:11" x14ac:dyDescent="0.3">
      <c r="A196" t="s">
        <v>390</v>
      </c>
      <c r="B196" t="s">
        <v>391</v>
      </c>
      <c r="C196" t="s">
        <v>74</v>
      </c>
      <c r="D196" t="s">
        <v>18</v>
      </c>
      <c r="E196" t="s">
        <v>57</v>
      </c>
      <c r="F196" s="1">
        <v>4646.87</v>
      </c>
      <c r="G196">
        <v>6</v>
      </c>
      <c r="H196" s="1">
        <v>530.58000000000004</v>
      </c>
      <c r="I196" t="s">
        <v>35</v>
      </c>
      <c r="J196">
        <f>YEAR(Retail_Data[Order_Date])</f>
        <v>2024</v>
      </c>
      <c r="K196" t="str">
        <f>TEXT(Retail_Data[Order_Date],"MMM")</f>
        <v>Dec</v>
      </c>
    </row>
    <row r="197" spans="1:11" x14ac:dyDescent="0.3">
      <c r="A197" t="s">
        <v>392</v>
      </c>
      <c r="B197" t="s">
        <v>132</v>
      </c>
      <c r="C197" t="s">
        <v>74</v>
      </c>
      <c r="D197" t="s">
        <v>18</v>
      </c>
      <c r="E197" t="s">
        <v>22</v>
      </c>
      <c r="F197" s="1">
        <v>18529.87</v>
      </c>
      <c r="G197">
        <v>10</v>
      </c>
      <c r="H197" s="1">
        <v>1548.21</v>
      </c>
      <c r="I197" t="s">
        <v>35</v>
      </c>
      <c r="J197">
        <f>YEAR(Retail_Data[Order_Date])</f>
        <v>2024</v>
      </c>
      <c r="K197" t="str">
        <f>TEXT(Retail_Data[Order_Date],"MMM")</f>
        <v>Sep</v>
      </c>
    </row>
    <row r="198" spans="1:11" x14ac:dyDescent="0.3">
      <c r="A198" t="s">
        <v>393</v>
      </c>
      <c r="B198" t="s">
        <v>102</v>
      </c>
      <c r="C198" t="s">
        <v>38</v>
      </c>
      <c r="D198" t="s">
        <v>39</v>
      </c>
      <c r="E198" t="s">
        <v>22</v>
      </c>
      <c r="F198" s="1">
        <v>27197.84</v>
      </c>
      <c r="G198">
        <v>8</v>
      </c>
      <c r="H198" s="1">
        <v>6392.78</v>
      </c>
      <c r="I198" t="s">
        <v>35</v>
      </c>
      <c r="J198">
        <f>YEAR(Retail_Data[Order_Date])</f>
        <v>2024</v>
      </c>
      <c r="K198" t="str">
        <f>TEXT(Retail_Data[Order_Date],"MMM")</f>
        <v>Mar</v>
      </c>
    </row>
    <row r="199" spans="1:11" x14ac:dyDescent="0.3">
      <c r="A199" t="s">
        <v>394</v>
      </c>
      <c r="B199" t="s">
        <v>395</v>
      </c>
      <c r="C199" t="s">
        <v>69</v>
      </c>
      <c r="D199" t="s">
        <v>34</v>
      </c>
      <c r="E199" t="s">
        <v>13</v>
      </c>
      <c r="F199" s="1">
        <v>19667.560000000001</v>
      </c>
      <c r="G199">
        <v>5</v>
      </c>
      <c r="H199" s="1">
        <v>4075.63</v>
      </c>
      <c r="I199" t="s">
        <v>35</v>
      </c>
      <c r="J199">
        <f>YEAR(Retail_Data[Order_Date])</f>
        <v>2024</v>
      </c>
      <c r="K199" t="str">
        <f>TEXT(Retail_Data[Order_Date],"MMM")</f>
        <v>Jan</v>
      </c>
    </row>
    <row r="200" spans="1:11" x14ac:dyDescent="0.3">
      <c r="A200" t="s">
        <v>396</v>
      </c>
      <c r="B200" t="s">
        <v>138</v>
      </c>
      <c r="C200" t="s">
        <v>109</v>
      </c>
      <c r="D200" t="s">
        <v>34</v>
      </c>
      <c r="E200" t="s">
        <v>13</v>
      </c>
      <c r="F200" s="1">
        <v>29645.31</v>
      </c>
      <c r="G200">
        <v>5</v>
      </c>
      <c r="H200" s="1">
        <v>1774.56</v>
      </c>
      <c r="I200" t="s">
        <v>14</v>
      </c>
      <c r="J200">
        <f>YEAR(Retail_Data[Order_Date])</f>
        <v>2024</v>
      </c>
      <c r="K200" t="str">
        <f>TEXT(Retail_Data[Order_Date],"MMM")</f>
        <v>Mar</v>
      </c>
    </row>
    <row r="201" spans="1:11" x14ac:dyDescent="0.3">
      <c r="A201" t="s">
        <v>397</v>
      </c>
      <c r="B201" t="s">
        <v>41</v>
      </c>
      <c r="C201" t="s">
        <v>26</v>
      </c>
      <c r="D201" t="s">
        <v>12</v>
      </c>
      <c r="E201" t="s">
        <v>22</v>
      </c>
      <c r="F201" s="1">
        <v>2846.62</v>
      </c>
      <c r="G201">
        <v>7</v>
      </c>
      <c r="H201" s="1">
        <v>573.86</v>
      </c>
      <c r="I201" t="s">
        <v>23</v>
      </c>
      <c r="J201">
        <f>YEAR(Retail_Data[Order_Date])</f>
        <v>2024</v>
      </c>
      <c r="K201" t="str">
        <f>TEXT(Retail_Data[Order_Date],"MMM")</f>
        <v>Jul</v>
      </c>
    </row>
    <row r="202" spans="1:11" x14ac:dyDescent="0.3">
      <c r="A202" t="s">
        <v>398</v>
      </c>
      <c r="B202" t="s">
        <v>216</v>
      </c>
      <c r="C202" t="s">
        <v>17</v>
      </c>
      <c r="D202" t="s">
        <v>18</v>
      </c>
      <c r="E202" t="s">
        <v>57</v>
      </c>
      <c r="F202" s="1">
        <v>43360.46</v>
      </c>
      <c r="G202">
        <v>4</v>
      </c>
      <c r="H202" s="1">
        <v>6315.4</v>
      </c>
      <c r="I202" t="s">
        <v>14</v>
      </c>
      <c r="J202">
        <f>YEAR(Retail_Data[Order_Date])</f>
        <v>2024</v>
      </c>
      <c r="K202" t="str">
        <f>TEXT(Retail_Data[Order_Date],"MMM")</f>
        <v>Apr</v>
      </c>
    </row>
    <row r="203" spans="1:11" x14ac:dyDescent="0.3">
      <c r="A203" t="s">
        <v>399</v>
      </c>
      <c r="B203" t="s">
        <v>400</v>
      </c>
      <c r="C203" t="s">
        <v>109</v>
      </c>
      <c r="D203" t="s">
        <v>34</v>
      </c>
      <c r="E203" t="s">
        <v>57</v>
      </c>
      <c r="F203" s="1">
        <v>31057.18</v>
      </c>
      <c r="G203">
        <v>8</v>
      </c>
      <c r="H203" s="1">
        <v>3233.27</v>
      </c>
      <c r="I203" t="s">
        <v>35</v>
      </c>
      <c r="J203">
        <f>YEAR(Retail_Data[Order_Date])</f>
        <v>2024</v>
      </c>
      <c r="K203" t="str">
        <f>TEXT(Retail_Data[Order_Date],"MMM")</f>
        <v>May</v>
      </c>
    </row>
    <row r="204" spans="1:11" x14ac:dyDescent="0.3">
      <c r="A204" t="s">
        <v>401</v>
      </c>
      <c r="B204" t="s">
        <v>402</v>
      </c>
      <c r="C204" t="s">
        <v>21</v>
      </c>
      <c r="D204" t="s">
        <v>18</v>
      </c>
      <c r="E204" t="s">
        <v>27</v>
      </c>
      <c r="F204" s="1">
        <v>10599.51</v>
      </c>
      <c r="G204">
        <v>1</v>
      </c>
      <c r="H204" s="1">
        <v>1191.6099999999999</v>
      </c>
      <c r="I204" t="s">
        <v>14</v>
      </c>
      <c r="J204">
        <f>YEAR(Retail_Data[Order_Date])</f>
        <v>2024</v>
      </c>
      <c r="K204" t="str">
        <f>TEXT(Retail_Data[Order_Date],"MMM")</f>
        <v>Oct</v>
      </c>
    </row>
    <row r="205" spans="1:11" x14ac:dyDescent="0.3">
      <c r="A205" t="s">
        <v>403</v>
      </c>
      <c r="B205" t="s">
        <v>43</v>
      </c>
      <c r="C205" t="s">
        <v>30</v>
      </c>
      <c r="D205" t="s">
        <v>12</v>
      </c>
      <c r="E205" t="s">
        <v>27</v>
      </c>
      <c r="F205" s="1">
        <v>7161.57</v>
      </c>
      <c r="G205">
        <v>6</v>
      </c>
      <c r="H205" s="1">
        <v>992.3</v>
      </c>
      <c r="I205" t="s">
        <v>23</v>
      </c>
      <c r="J205">
        <f>YEAR(Retail_Data[Order_Date])</f>
        <v>2024</v>
      </c>
      <c r="K205" t="str">
        <f>TEXT(Retail_Data[Order_Date],"MMM")</f>
        <v>Dec</v>
      </c>
    </row>
    <row r="206" spans="1:11" x14ac:dyDescent="0.3">
      <c r="A206" t="s">
        <v>404</v>
      </c>
      <c r="B206" t="s">
        <v>405</v>
      </c>
      <c r="C206" t="s">
        <v>21</v>
      </c>
      <c r="D206" t="s">
        <v>18</v>
      </c>
      <c r="E206" t="s">
        <v>22</v>
      </c>
      <c r="F206" s="1">
        <v>48287.6</v>
      </c>
      <c r="G206">
        <v>8</v>
      </c>
      <c r="H206" s="1">
        <v>7155.28</v>
      </c>
      <c r="I206" t="s">
        <v>35</v>
      </c>
      <c r="J206">
        <f>YEAR(Retail_Data[Order_Date])</f>
        <v>2024</v>
      </c>
      <c r="K206" t="str">
        <f>TEXT(Retail_Data[Order_Date],"MMM")</f>
        <v>Oct</v>
      </c>
    </row>
    <row r="207" spans="1:11" x14ac:dyDescent="0.3">
      <c r="A207" t="s">
        <v>406</v>
      </c>
      <c r="B207" t="s">
        <v>188</v>
      </c>
      <c r="C207" t="s">
        <v>49</v>
      </c>
      <c r="D207" t="s">
        <v>12</v>
      </c>
      <c r="E207" t="s">
        <v>22</v>
      </c>
      <c r="F207" s="1">
        <v>4063.47</v>
      </c>
      <c r="G207">
        <v>1</v>
      </c>
      <c r="H207" s="1">
        <v>485.86</v>
      </c>
      <c r="I207" t="s">
        <v>35</v>
      </c>
      <c r="J207">
        <f>YEAR(Retail_Data[Order_Date])</f>
        <v>2024</v>
      </c>
      <c r="K207" t="str">
        <f>TEXT(Retail_Data[Order_Date],"MMM")</f>
        <v>Mar</v>
      </c>
    </row>
    <row r="208" spans="1:11" x14ac:dyDescent="0.3">
      <c r="A208" t="s">
        <v>407</v>
      </c>
      <c r="B208" t="s">
        <v>408</v>
      </c>
      <c r="C208" t="s">
        <v>11</v>
      </c>
      <c r="D208" t="s">
        <v>12</v>
      </c>
      <c r="E208" t="s">
        <v>13</v>
      </c>
      <c r="F208" s="1">
        <v>38777.879999999997</v>
      </c>
      <c r="G208">
        <v>10</v>
      </c>
      <c r="H208" s="1">
        <v>2193.33</v>
      </c>
      <c r="I208" t="s">
        <v>35</v>
      </c>
      <c r="J208">
        <f>YEAR(Retail_Data[Order_Date])</f>
        <v>2024</v>
      </c>
      <c r="K208" t="str">
        <f>TEXT(Retail_Data[Order_Date],"MMM")</f>
        <v>Nov</v>
      </c>
    </row>
    <row r="209" spans="1:11" x14ac:dyDescent="0.3">
      <c r="A209" t="s">
        <v>409</v>
      </c>
      <c r="B209" t="s">
        <v>410</v>
      </c>
      <c r="C209" t="s">
        <v>93</v>
      </c>
      <c r="D209" t="s">
        <v>39</v>
      </c>
      <c r="E209" t="s">
        <v>27</v>
      </c>
      <c r="F209" s="1">
        <v>20547.61</v>
      </c>
      <c r="G209">
        <v>5</v>
      </c>
      <c r="H209" s="1">
        <v>1499.29</v>
      </c>
      <c r="I209" t="s">
        <v>35</v>
      </c>
      <c r="J209">
        <f>YEAR(Retail_Data[Order_Date])</f>
        <v>2024</v>
      </c>
      <c r="K209" t="str">
        <f>TEXT(Retail_Data[Order_Date],"MMM")</f>
        <v>Oct</v>
      </c>
    </row>
    <row r="210" spans="1:11" x14ac:dyDescent="0.3">
      <c r="A210" t="s">
        <v>411</v>
      </c>
      <c r="B210" t="s">
        <v>412</v>
      </c>
      <c r="C210" t="s">
        <v>109</v>
      </c>
      <c r="D210" t="s">
        <v>34</v>
      </c>
      <c r="E210" t="s">
        <v>27</v>
      </c>
      <c r="F210" s="1">
        <v>38708.71</v>
      </c>
      <c r="G210">
        <v>5</v>
      </c>
      <c r="H210" s="1">
        <v>9270.74</v>
      </c>
      <c r="I210" t="s">
        <v>35</v>
      </c>
      <c r="J210">
        <f>YEAR(Retail_Data[Order_Date])</f>
        <v>2024</v>
      </c>
      <c r="K210" t="str">
        <f>TEXT(Retail_Data[Order_Date],"MMM")</f>
        <v>Sep</v>
      </c>
    </row>
    <row r="211" spans="1:11" x14ac:dyDescent="0.3">
      <c r="A211" t="s">
        <v>413</v>
      </c>
      <c r="B211" t="s">
        <v>32</v>
      </c>
      <c r="C211" t="s">
        <v>69</v>
      </c>
      <c r="D211" t="s">
        <v>34</v>
      </c>
      <c r="E211" t="s">
        <v>57</v>
      </c>
      <c r="F211" s="1">
        <v>25516.9</v>
      </c>
      <c r="G211">
        <v>4</v>
      </c>
      <c r="H211" s="1">
        <v>3344.7</v>
      </c>
      <c r="I211" t="s">
        <v>23</v>
      </c>
      <c r="J211">
        <f>YEAR(Retail_Data[Order_Date])</f>
        <v>2024</v>
      </c>
      <c r="K211" t="str">
        <f>TEXT(Retail_Data[Order_Date],"MMM")</f>
        <v>Jan</v>
      </c>
    </row>
    <row r="212" spans="1:11" x14ac:dyDescent="0.3">
      <c r="A212" t="s">
        <v>414</v>
      </c>
      <c r="B212" t="s">
        <v>415</v>
      </c>
      <c r="C212" t="s">
        <v>93</v>
      </c>
      <c r="D212" t="s">
        <v>39</v>
      </c>
      <c r="E212" t="s">
        <v>57</v>
      </c>
      <c r="F212" s="1">
        <v>30218.05</v>
      </c>
      <c r="G212">
        <v>6</v>
      </c>
      <c r="H212" s="1">
        <v>6961.01</v>
      </c>
      <c r="I212" t="s">
        <v>23</v>
      </c>
      <c r="J212">
        <f>YEAR(Retail_Data[Order_Date])</f>
        <v>2024</v>
      </c>
      <c r="K212" t="str">
        <f>TEXT(Retail_Data[Order_Date],"MMM")</f>
        <v>Mar</v>
      </c>
    </row>
    <row r="213" spans="1:11" x14ac:dyDescent="0.3">
      <c r="A213" t="s">
        <v>416</v>
      </c>
      <c r="B213" t="s">
        <v>282</v>
      </c>
      <c r="C213" t="s">
        <v>17</v>
      </c>
      <c r="D213" t="s">
        <v>18</v>
      </c>
      <c r="E213" t="s">
        <v>27</v>
      </c>
      <c r="F213" s="1">
        <v>11154.65</v>
      </c>
      <c r="G213">
        <v>6</v>
      </c>
      <c r="H213" s="1">
        <v>663.39</v>
      </c>
      <c r="I213" t="s">
        <v>35</v>
      </c>
      <c r="J213">
        <f>YEAR(Retail_Data[Order_Date])</f>
        <v>2024</v>
      </c>
      <c r="K213" t="str">
        <f>TEXT(Retail_Data[Order_Date],"MMM")</f>
        <v>Sep</v>
      </c>
    </row>
    <row r="214" spans="1:11" x14ac:dyDescent="0.3">
      <c r="A214" t="s">
        <v>417</v>
      </c>
      <c r="B214" t="s">
        <v>418</v>
      </c>
      <c r="C214" t="s">
        <v>141</v>
      </c>
      <c r="D214" t="s">
        <v>39</v>
      </c>
      <c r="E214" t="s">
        <v>22</v>
      </c>
      <c r="F214" s="1">
        <v>11560.33</v>
      </c>
      <c r="G214">
        <v>7</v>
      </c>
      <c r="H214" s="1">
        <v>771.76</v>
      </c>
      <c r="I214" t="s">
        <v>23</v>
      </c>
      <c r="J214">
        <f>YEAR(Retail_Data[Order_Date])</f>
        <v>2024</v>
      </c>
      <c r="K214" t="str">
        <f>TEXT(Retail_Data[Order_Date],"MMM")</f>
        <v>Mar</v>
      </c>
    </row>
    <row r="215" spans="1:11" x14ac:dyDescent="0.3">
      <c r="A215" t="s">
        <v>419</v>
      </c>
      <c r="B215" t="s">
        <v>420</v>
      </c>
      <c r="C215" t="s">
        <v>49</v>
      </c>
      <c r="D215" t="s">
        <v>12</v>
      </c>
      <c r="E215" t="s">
        <v>13</v>
      </c>
      <c r="F215" s="1">
        <v>6942.29</v>
      </c>
      <c r="G215">
        <v>5</v>
      </c>
      <c r="H215" s="1">
        <v>1174.9100000000001</v>
      </c>
      <c r="I215" t="s">
        <v>35</v>
      </c>
      <c r="J215">
        <f>YEAR(Retail_Data[Order_Date])</f>
        <v>2024</v>
      </c>
      <c r="K215" t="str">
        <f>TEXT(Retail_Data[Order_Date],"MMM")</f>
        <v>Dec</v>
      </c>
    </row>
    <row r="216" spans="1:11" x14ac:dyDescent="0.3">
      <c r="A216" t="s">
        <v>421</v>
      </c>
      <c r="B216" t="s">
        <v>422</v>
      </c>
      <c r="C216" t="s">
        <v>109</v>
      </c>
      <c r="D216" t="s">
        <v>34</v>
      </c>
      <c r="E216" t="s">
        <v>27</v>
      </c>
      <c r="F216" s="1">
        <v>13467.32</v>
      </c>
      <c r="G216">
        <v>10</v>
      </c>
      <c r="H216" s="1">
        <v>3158</v>
      </c>
      <c r="I216" t="s">
        <v>23</v>
      </c>
      <c r="J216">
        <f>YEAR(Retail_Data[Order_Date])</f>
        <v>2024</v>
      </c>
      <c r="K216" t="str">
        <f>TEXT(Retail_Data[Order_Date],"MMM")</f>
        <v>Jun</v>
      </c>
    </row>
    <row r="217" spans="1:11" x14ac:dyDescent="0.3">
      <c r="A217" t="s">
        <v>423</v>
      </c>
      <c r="B217" t="s">
        <v>102</v>
      </c>
      <c r="C217" t="s">
        <v>62</v>
      </c>
      <c r="D217" t="s">
        <v>34</v>
      </c>
      <c r="E217" t="s">
        <v>22</v>
      </c>
      <c r="F217" s="1">
        <v>42071.21</v>
      </c>
      <c r="G217">
        <v>10</v>
      </c>
      <c r="H217" s="1">
        <v>3655.4</v>
      </c>
      <c r="I217" t="s">
        <v>35</v>
      </c>
      <c r="J217">
        <f>YEAR(Retail_Data[Order_Date])</f>
        <v>2024</v>
      </c>
      <c r="K217" t="str">
        <f>TEXT(Retail_Data[Order_Date],"MMM")</f>
        <v>Mar</v>
      </c>
    </row>
    <row r="218" spans="1:11" x14ac:dyDescent="0.3">
      <c r="A218" t="s">
        <v>424</v>
      </c>
      <c r="B218" t="s">
        <v>207</v>
      </c>
      <c r="C218" t="s">
        <v>109</v>
      </c>
      <c r="D218" t="s">
        <v>34</v>
      </c>
      <c r="E218" t="s">
        <v>57</v>
      </c>
      <c r="F218" s="1">
        <v>34159.21</v>
      </c>
      <c r="G218">
        <v>3</v>
      </c>
      <c r="H218" s="1">
        <v>3223.8</v>
      </c>
      <c r="I218" t="s">
        <v>23</v>
      </c>
      <c r="J218">
        <f>YEAR(Retail_Data[Order_Date])</f>
        <v>2024</v>
      </c>
      <c r="K218" t="str">
        <f>TEXT(Retail_Data[Order_Date],"MMM")</f>
        <v>Nov</v>
      </c>
    </row>
    <row r="219" spans="1:11" x14ac:dyDescent="0.3">
      <c r="A219" t="s">
        <v>425</v>
      </c>
      <c r="B219" t="s">
        <v>426</v>
      </c>
      <c r="C219" t="s">
        <v>54</v>
      </c>
      <c r="D219" t="s">
        <v>18</v>
      </c>
      <c r="E219" t="s">
        <v>57</v>
      </c>
      <c r="F219" s="1">
        <v>3420.44</v>
      </c>
      <c r="G219">
        <v>4</v>
      </c>
      <c r="H219" s="1">
        <v>686.99</v>
      </c>
      <c r="I219" t="s">
        <v>23</v>
      </c>
      <c r="J219">
        <f>YEAR(Retail_Data[Order_Date])</f>
        <v>2024</v>
      </c>
      <c r="K219" t="str">
        <f>TEXT(Retail_Data[Order_Date],"MMM")</f>
        <v>Apr</v>
      </c>
    </row>
    <row r="220" spans="1:11" x14ac:dyDescent="0.3">
      <c r="A220" t="s">
        <v>427</v>
      </c>
      <c r="B220" t="s">
        <v>56</v>
      </c>
      <c r="C220" t="s">
        <v>44</v>
      </c>
      <c r="D220" t="s">
        <v>39</v>
      </c>
      <c r="E220" t="s">
        <v>22</v>
      </c>
      <c r="F220" s="1">
        <v>21500.32</v>
      </c>
      <c r="G220">
        <v>5</v>
      </c>
      <c r="H220" s="1">
        <v>3962.9</v>
      </c>
      <c r="I220" t="s">
        <v>35</v>
      </c>
      <c r="J220">
        <f>YEAR(Retail_Data[Order_Date])</f>
        <v>2024</v>
      </c>
      <c r="K220" t="str">
        <f>TEXT(Retail_Data[Order_Date],"MMM")</f>
        <v>Nov</v>
      </c>
    </row>
    <row r="221" spans="1:11" x14ac:dyDescent="0.3">
      <c r="A221" t="s">
        <v>428</v>
      </c>
      <c r="B221" t="s">
        <v>378</v>
      </c>
      <c r="C221" t="s">
        <v>21</v>
      </c>
      <c r="D221" t="s">
        <v>18</v>
      </c>
      <c r="E221" t="s">
        <v>22</v>
      </c>
      <c r="F221" s="1">
        <v>26822.09</v>
      </c>
      <c r="G221">
        <v>10</v>
      </c>
      <c r="H221" s="1">
        <v>4660.3599999999997</v>
      </c>
      <c r="I221" t="s">
        <v>35</v>
      </c>
      <c r="J221">
        <f>YEAR(Retail_Data[Order_Date])</f>
        <v>2024</v>
      </c>
      <c r="K221" t="str">
        <f>TEXT(Retail_Data[Order_Date],"MMM")</f>
        <v>Feb</v>
      </c>
    </row>
    <row r="222" spans="1:11" x14ac:dyDescent="0.3">
      <c r="A222" t="s">
        <v>429</v>
      </c>
      <c r="B222" t="s">
        <v>298</v>
      </c>
      <c r="C222" t="s">
        <v>11</v>
      </c>
      <c r="D222" t="s">
        <v>12</v>
      </c>
      <c r="E222" t="s">
        <v>22</v>
      </c>
      <c r="F222" s="1">
        <v>44371.81</v>
      </c>
      <c r="G222">
        <v>6</v>
      </c>
      <c r="H222" s="1">
        <v>6166.95</v>
      </c>
      <c r="I222" t="s">
        <v>14</v>
      </c>
      <c r="J222">
        <f>YEAR(Retail_Data[Order_Date])</f>
        <v>2024</v>
      </c>
      <c r="K222" t="str">
        <f>TEXT(Retail_Data[Order_Date],"MMM")</f>
        <v>Dec</v>
      </c>
    </row>
    <row r="223" spans="1:11" x14ac:dyDescent="0.3">
      <c r="A223" t="s">
        <v>430</v>
      </c>
      <c r="B223" t="s">
        <v>431</v>
      </c>
      <c r="C223" t="s">
        <v>49</v>
      </c>
      <c r="D223" t="s">
        <v>12</v>
      </c>
      <c r="E223" t="s">
        <v>22</v>
      </c>
      <c r="F223" s="1">
        <v>35281.42</v>
      </c>
      <c r="G223">
        <v>7</v>
      </c>
      <c r="H223" s="1">
        <v>8322.6299999999992</v>
      </c>
      <c r="I223" t="s">
        <v>35</v>
      </c>
      <c r="J223">
        <f>YEAR(Retail_Data[Order_Date])</f>
        <v>2024</v>
      </c>
      <c r="K223" t="str">
        <f>TEXT(Retail_Data[Order_Date],"MMM")</f>
        <v>Nov</v>
      </c>
    </row>
    <row r="224" spans="1:11" x14ac:dyDescent="0.3">
      <c r="A224" t="s">
        <v>432</v>
      </c>
      <c r="B224" t="s">
        <v>296</v>
      </c>
      <c r="C224" t="s">
        <v>74</v>
      </c>
      <c r="D224" t="s">
        <v>18</v>
      </c>
      <c r="E224" t="s">
        <v>27</v>
      </c>
      <c r="F224" s="1">
        <v>5724.26</v>
      </c>
      <c r="G224">
        <v>9</v>
      </c>
      <c r="H224" s="1">
        <v>1134.6099999999999</v>
      </c>
      <c r="I224" t="s">
        <v>14</v>
      </c>
      <c r="J224">
        <f>YEAR(Retail_Data[Order_Date])</f>
        <v>2024</v>
      </c>
      <c r="K224" t="str">
        <f>TEXT(Retail_Data[Order_Date],"MMM")</f>
        <v>May</v>
      </c>
    </row>
    <row r="225" spans="1:11" x14ac:dyDescent="0.3">
      <c r="A225" t="s">
        <v>433</v>
      </c>
      <c r="B225" t="s">
        <v>46</v>
      </c>
      <c r="C225" t="s">
        <v>38</v>
      </c>
      <c r="D225" t="s">
        <v>39</v>
      </c>
      <c r="E225" t="s">
        <v>27</v>
      </c>
      <c r="F225" s="1">
        <v>23434.5</v>
      </c>
      <c r="G225">
        <v>10</v>
      </c>
      <c r="H225" s="1">
        <v>3549.09</v>
      </c>
      <c r="I225" t="s">
        <v>35</v>
      </c>
      <c r="J225">
        <f>YEAR(Retail_Data[Order_Date])</f>
        <v>2024</v>
      </c>
      <c r="K225" t="str">
        <f>TEXT(Retail_Data[Order_Date],"MMM")</f>
        <v>May</v>
      </c>
    </row>
    <row r="226" spans="1:11" x14ac:dyDescent="0.3">
      <c r="A226" t="s">
        <v>434</v>
      </c>
      <c r="B226" t="s">
        <v>214</v>
      </c>
      <c r="C226" t="s">
        <v>54</v>
      </c>
      <c r="D226" t="s">
        <v>18</v>
      </c>
      <c r="E226" t="s">
        <v>13</v>
      </c>
      <c r="F226" s="1">
        <v>12184.95</v>
      </c>
      <c r="G226">
        <v>5</v>
      </c>
      <c r="H226" s="1">
        <v>2658.68</v>
      </c>
      <c r="I226" t="s">
        <v>14</v>
      </c>
      <c r="J226">
        <f>YEAR(Retail_Data[Order_Date])</f>
        <v>2024</v>
      </c>
      <c r="K226" t="str">
        <f>TEXT(Retail_Data[Order_Date],"MMM")</f>
        <v>Dec</v>
      </c>
    </row>
    <row r="227" spans="1:11" x14ac:dyDescent="0.3">
      <c r="A227" t="s">
        <v>435</v>
      </c>
      <c r="B227" t="s">
        <v>92</v>
      </c>
      <c r="C227" t="s">
        <v>54</v>
      </c>
      <c r="D227" t="s">
        <v>18</v>
      </c>
      <c r="E227" t="s">
        <v>27</v>
      </c>
      <c r="F227" s="1">
        <v>11247.68</v>
      </c>
      <c r="G227">
        <v>9</v>
      </c>
      <c r="H227" s="1">
        <v>1902.27</v>
      </c>
      <c r="I227" t="s">
        <v>23</v>
      </c>
      <c r="J227">
        <f>YEAR(Retail_Data[Order_Date])</f>
        <v>2024</v>
      </c>
      <c r="K227" t="str">
        <f>TEXT(Retail_Data[Order_Date],"MMM")</f>
        <v>Oct</v>
      </c>
    </row>
    <row r="228" spans="1:11" x14ac:dyDescent="0.3">
      <c r="A228" t="s">
        <v>436</v>
      </c>
      <c r="B228" t="s">
        <v>318</v>
      </c>
      <c r="C228" t="s">
        <v>30</v>
      </c>
      <c r="D228" t="s">
        <v>12</v>
      </c>
      <c r="E228" t="s">
        <v>27</v>
      </c>
      <c r="F228" s="1">
        <v>37335.56</v>
      </c>
      <c r="G228">
        <v>2</v>
      </c>
      <c r="H228" s="1">
        <v>8189.56</v>
      </c>
      <c r="I228" t="s">
        <v>14</v>
      </c>
      <c r="J228">
        <f>YEAR(Retail_Data[Order_Date])</f>
        <v>2024</v>
      </c>
      <c r="K228" t="str">
        <f>TEXT(Retail_Data[Order_Date],"MMM")</f>
        <v>Jun</v>
      </c>
    </row>
    <row r="229" spans="1:11" x14ac:dyDescent="0.3">
      <c r="A229" t="s">
        <v>437</v>
      </c>
      <c r="B229" t="s">
        <v>418</v>
      </c>
      <c r="C229" t="s">
        <v>109</v>
      </c>
      <c r="D229" t="s">
        <v>34</v>
      </c>
      <c r="E229" t="s">
        <v>22</v>
      </c>
      <c r="F229" s="1">
        <v>5139.1099999999997</v>
      </c>
      <c r="G229">
        <v>4</v>
      </c>
      <c r="H229" s="1">
        <v>276.49</v>
      </c>
      <c r="I229" t="s">
        <v>35</v>
      </c>
      <c r="J229">
        <f>YEAR(Retail_Data[Order_Date])</f>
        <v>2024</v>
      </c>
      <c r="K229" t="str">
        <f>TEXT(Retail_Data[Order_Date],"MMM")</f>
        <v>Mar</v>
      </c>
    </row>
    <row r="230" spans="1:11" x14ac:dyDescent="0.3">
      <c r="A230" t="s">
        <v>438</v>
      </c>
      <c r="B230" t="s">
        <v>123</v>
      </c>
      <c r="C230" t="s">
        <v>21</v>
      </c>
      <c r="D230" t="s">
        <v>18</v>
      </c>
      <c r="E230" t="s">
        <v>27</v>
      </c>
      <c r="F230" s="1">
        <v>36543.68</v>
      </c>
      <c r="G230">
        <v>8</v>
      </c>
      <c r="H230" s="1">
        <v>8494.3799999999992</v>
      </c>
      <c r="I230" t="s">
        <v>14</v>
      </c>
      <c r="J230">
        <f>YEAR(Retail_Data[Order_Date])</f>
        <v>2024</v>
      </c>
      <c r="K230" t="str">
        <f>TEXT(Retail_Data[Order_Date],"MMM")</f>
        <v>Jul</v>
      </c>
    </row>
    <row r="231" spans="1:11" x14ac:dyDescent="0.3">
      <c r="A231" t="s">
        <v>439</v>
      </c>
      <c r="B231" t="s">
        <v>440</v>
      </c>
      <c r="C231" t="s">
        <v>44</v>
      </c>
      <c r="D231" t="s">
        <v>39</v>
      </c>
      <c r="E231" t="s">
        <v>13</v>
      </c>
      <c r="F231" s="1">
        <v>6057.37</v>
      </c>
      <c r="G231">
        <v>2</v>
      </c>
      <c r="H231" s="1">
        <v>1508.73</v>
      </c>
      <c r="I231" t="s">
        <v>23</v>
      </c>
      <c r="J231">
        <f>YEAR(Retail_Data[Order_Date])</f>
        <v>2024</v>
      </c>
      <c r="K231" t="str">
        <f>TEXT(Retail_Data[Order_Date],"MMM")</f>
        <v>Jul</v>
      </c>
    </row>
    <row r="232" spans="1:11" x14ac:dyDescent="0.3">
      <c r="A232" t="s">
        <v>441</v>
      </c>
      <c r="B232" t="s">
        <v>352</v>
      </c>
      <c r="C232" t="s">
        <v>93</v>
      </c>
      <c r="D232" t="s">
        <v>39</v>
      </c>
      <c r="E232" t="s">
        <v>22</v>
      </c>
      <c r="F232" s="1">
        <v>25243.77</v>
      </c>
      <c r="G232">
        <v>3</v>
      </c>
      <c r="H232" s="1">
        <v>5131.46</v>
      </c>
      <c r="I232" t="s">
        <v>14</v>
      </c>
      <c r="J232">
        <f>YEAR(Retail_Data[Order_Date])</f>
        <v>2024</v>
      </c>
      <c r="K232" t="str">
        <f>TEXT(Retail_Data[Order_Date],"MMM")</f>
        <v>Jan</v>
      </c>
    </row>
    <row r="233" spans="1:11" x14ac:dyDescent="0.3">
      <c r="A233" t="s">
        <v>442</v>
      </c>
      <c r="B233" t="s">
        <v>229</v>
      </c>
      <c r="C233" t="s">
        <v>54</v>
      </c>
      <c r="D233" t="s">
        <v>18</v>
      </c>
      <c r="E233" t="s">
        <v>27</v>
      </c>
      <c r="F233" s="1">
        <v>11867.81</v>
      </c>
      <c r="G233">
        <v>1</v>
      </c>
      <c r="H233" s="1">
        <v>2450.8200000000002</v>
      </c>
      <c r="I233" t="s">
        <v>14</v>
      </c>
      <c r="J233">
        <f>YEAR(Retail_Data[Order_Date])</f>
        <v>2024</v>
      </c>
      <c r="K233" t="str">
        <f>TEXT(Retail_Data[Order_Date],"MMM")</f>
        <v>Jan</v>
      </c>
    </row>
    <row r="234" spans="1:11" x14ac:dyDescent="0.3">
      <c r="A234" t="s">
        <v>443</v>
      </c>
      <c r="B234" t="s">
        <v>239</v>
      </c>
      <c r="C234" t="s">
        <v>38</v>
      </c>
      <c r="D234" t="s">
        <v>39</v>
      </c>
      <c r="E234" t="s">
        <v>13</v>
      </c>
      <c r="F234" s="1">
        <v>38753.15</v>
      </c>
      <c r="G234">
        <v>8</v>
      </c>
      <c r="H234" s="1">
        <v>9536.09</v>
      </c>
      <c r="I234" t="s">
        <v>23</v>
      </c>
      <c r="J234">
        <f>YEAR(Retail_Data[Order_Date])</f>
        <v>2024</v>
      </c>
      <c r="K234" t="str">
        <f>TEXT(Retail_Data[Order_Date],"MMM")</f>
        <v>Aug</v>
      </c>
    </row>
    <row r="235" spans="1:11" x14ac:dyDescent="0.3">
      <c r="A235" t="s">
        <v>444</v>
      </c>
      <c r="B235" t="s">
        <v>78</v>
      </c>
      <c r="C235" t="s">
        <v>33</v>
      </c>
      <c r="D235" t="s">
        <v>34</v>
      </c>
      <c r="E235" t="s">
        <v>13</v>
      </c>
      <c r="F235" s="1">
        <v>40131.629999999997</v>
      </c>
      <c r="G235">
        <v>9</v>
      </c>
      <c r="H235" s="1">
        <v>5693.4</v>
      </c>
      <c r="I235" t="s">
        <v>35</v>
      </c>
      <c r="J235">
        <f>YEAR(Retail_Data[Order_Date])</f>
        <v>2024</v>
      </c>
      <c r="K235" t="str">
        <f>TEXT(Retail_Data[Order_Date],"MMM")</f>
        <v>Jun</v>
      </c>
    </row>
    <row r="236" spans="1:11" x14ac:dyDescent="0.3">
      <c r="A236" t="s">
        <v>445</v>
      </c>
      <c r="B236" t="s">
        <v>172</v>
      </c>
      <c r="C236" t="s">
        <v>26</v>
      </c>
      <c r="D236" t="s">
        <v>12</v>
      </c>
      <c r="E236" t="s">
        <v>27</v>
      </c>
      <c r="F236" s="1">
        <v>46211.68</v>
      </c>
      <c r="G236">
        <v>2</v>
      </c>
      <c r="H236" s="1">
        <v>10038.26</v>
      </c>
      <c r="I236" t="s">
        <v>14</v>
      </c>
      <c r="J236">
        <f>YEAR(Retail_Data[Order_Date])</f>
        <v>2024</v>
      </c>
      <c r="K236" t="str">
        <f>TEXT(Retail_Data[Order_Date],"MMM")</f>
        <v>Apr</v>
      </c>
    </row>
    <row r="237" spans="1:11" x14ac:dyDescent="0.3">
      <c r="A237" t="s">
        <v>446</v>
      </c>
      <c r="B237" t="s">
        <v>178</v>
      </c>
      <c r="C237" t="s">
        <v>141</v>
      </c>
      <c r="D237" t="s">
        <v>39</v>
      </c>
      <c r="E237" t="s">
        <v>57</v>
      </c>
      <c r="F237" s="1">
        <v>39965.050000000003</v>
      </c>
      <c r="G237">
        <v>4</v>
      </c>
      <c r="H237" s="1">
        <v>7265.7</v>
      </c>
      <c r="I237" t="s">
        <v>35</v>
      </c>
      <c r="J237">
        <f>YEAR(Retail_Data[Order_Date])</f>
        <v>2024</v>
      </c>
      <c r="K237" t="str">
        <f>TEXT(Retail_Data[Order_Date],"MMM")</f>
        <v>May</v>
      </c>
    </row>
    <row r="238" spans="1:11" x14ac:dyDescent="0.3">
      <c r="A238" t="s">
        <v>447</v>
      </c>
      <c r="B238" t="s">
        <v>448</v>
      </c>
      <c r="C238" t="s">
        <v>11</v>
      </c>
      <c r="D238" t="s">
        <v>12</v>
      </c>
      <c r="E238" t="s">
        <v>27</v>
      </c>
      <c r="F238" s="1">
        <v>7292.81</v>
      </c>
      <c r="G238">
        <v>7</v>
      </c>
      <c r="H238" s="1">
        <v>1080.3499999999999</v>
      </c>
      <c r="I238" t="s">
        <v>35</v>
      </c>
      <c r="J238">
        <f>YEAR(Retail_Data[Order_Date])</f>
        <v>2024</v>
      </c>
      <c r="K238" t="str">
        <f>TEXT(Retail_Data[Order_Date],"MMM")</f>
        <v>Sep</v>
      </c>
    </row>
    <row r="239" spans="1:11" x14ac:dyDescent="0.3">
      <c r="A239" t="s">
        <v>449</v>
      </c>
      <c r="B239" t="s">
        <v>376</v>
      </c>
      <c r="C239" t="s">
        <v>11</v>
      </c>
      <c r="D239" t="s">
        <v>12</v>
      </c>
      <c r="E239" t="s">
        <v>27</v>
      </c>
      <c r="F239" s="1">
        <v>971.56</v>
      </c>
      <c r="G239">
        <v>9</v>
      </c>
      <c r="H239" s="1">
        <v>68.69</v>
      </c>
      <c r="I239" t="s">
        <v>14</v>
      </c>
      <c r="J239">
        <f>YEAR(Retail_Data[Order_Date])</f>
        <v>2024</v>
      </c>
      <c r="K239" t="str">
        <f>TEXT(Retail_Data[Order_Date],"MMM")</f>
        <v>Mar</v>
      </c>
    </row>
    <row r="240" spans="1:11" x14ac:dyDescent="0.3">
      <c r="A240" t="s">
        <v>450</v>
      </c>
      <c r="B240" t="s">
        <v>451</v>
      </c>
      <c r="C240" t="s">
        <v>44</v>
      </c>
      <c r="D240" t="s">
        <v>39</v>
      </c>
      <c r="E240" t="s">
        <v>22</v>
      </c>
      <c r="F240" s="1">
        <v>1850.93</v>
      </c>
      <c r="G240">
        <v>8</v>
      </c>
      <c r="H240" s="1">
        <v>285.99</v>
      </c>
      <c r="I240" t="s">
        <v>14</v>
      </c>
      <c r="J240">
        <f>YEAR(Retail_Data[Order_Date])</f>
        <v>2024</v>
      </c>
      <c r="K240" t="str">
        <f>TEXT(Retail_Data[Order_Date],"MMM")</f>
        <v>Jul</v>
      </c>
    </row>
    <row r="241" spans="1:11" x14ac:dyDescent="0.3">
      <c r="A241" t="s">
        <v>452</v>
      </c>
      <c r="B241" t="s">
        <v>453</v>
      </c>
      <c r="C241" t="s">
        <v>93</v>
      </c>
      <c r="D241" t="s">
        <v>39</v>
      </c>
      <c r="E241" t="s">
        <v>13</v>
      </c>
      <c r="F241" s="1">
        <v>36819.980000000003</v>
      </c>
      <c r="G241">
        <v>6</v>
      </c>
      <c r="H241" s="1">
        <v>8229.17</v>
      </c>
      <c r="I241" t="s">
        <v>23</v>
      </c>
      <c r="J241">
        <f>YEAR(Retail_Data[Order_Date])</f>
        <v>2024</v>
      </c>
      <c r="K241" t="str">
        <f>TEXT(Retail_Data[Order_Date],"MMM")</f>
        <v>Jan</v>
      </c>
    </row>
    <row r="242" spans="1:11" x14ac:dyDescent="0.3">
      <c r="A242" t="s">
        <v>454</v>
      </c>
      <c r="B242" t="s">
        <v>455</v>
      </c>
      <c r="C242" t="s">
        <v>74</v>
      </c>
      <c r="D242" t="s">
        <v>18</v>
      </c>
      <c r="E242" t="s">
        <v>13</v>
      </c>
      <c r="F242" s="1">
        <v>43159.7</v>
      </c>
      <c r="G242">
        <v>9</v>
      </c>
      <c r="H242" s="1">
        <v>3080.25</v>
      </c>
      <c r="I242" t="s">
        <v>23</v>
      </c>
      <c r="J242">
        <f>YEAR(Retail_Data[Order_Date])</f>
        <v>2024</v>
      </c>
      <c r="K242" t="str">
        <f>TEXT(Retail_Data[Order_Date],"MMM")</f>
        <v>Aug</v>
      </c>
    </row>
    <row r="243" spans="1:11" x14ac:dyDescent="0.3">
      <c r="A243" t="s">
        <v>456</v>
      </c>
      <c r="B243" t="s">
        <v>457</v>
      </c>
      <c r="C243" t="s">
        <v>33</v>
      </c>
      <c r="D243" t="s">
        <v>34</v>
      </c>
      <c r="E243" t="s">
        <v>22</v>
      </c>
      <c r="F243" s="1">
        <v>10179.92</v>
      </c>
      <c r="G243">
        <v>3</v>
      </c>
      <c r="H243" s="1">
        <v>1753.08</v>
      </c>
      <c r="I243" t="s">
        <v>23</v>
      </c>
      <c r="J243">
        <f>YEAR(Retail_Data[Order_Date])</f>
        <v>2024</v>
      </c>
      <c r="K243" t="str">
        <f>TEXT(Retail_Data[Order_Date],"MMM")</f>
        <v>Jun</v>
      </c>
    </row>
    <row r="244" spans="1:11" x14ac:dyDescent="0.3">
      <c r="A244" t="s">
        <v>458</v>
      </c>
      <c r="B244" t="s">
        <v>134</v>
      </c>
      <c r="C244" t="s">
        <v>69</v>
      </c>
      <c r="D244" t="s">
        <v>34</v>
      </c>
      <c r="E244" t="s">
        <v>57</v>
      </c>
      <c r="F244" s="1">
        <v>27386.38</v>
      </c>
      <c r="G244">
        <v>6</v>
      </c>
      <c r="H244" s="1">
        <v>3449.73</v>
      </c>
      <c r="I244" t="s">
        <v>14</v>
      </c>
      <c r="J244">
        <f>YEAR(Retail_Data[Order_Date])</f>
        <v>2024</v>
      </c>
      <c r="K244" t="str">
        <f>TEXT(Retail_Data[Order_Date],"MMM")</f>
        <v>May</v>
      </c>
    </row>
    <row r="245" spans="1:11" x14ac:dyDescent="0.3">
      <c r="A245" t="s">
        <v>459</v>
      </c>
      <c r="B245" t="s">
        <v>460</v>
      </c>
      <c r="C245" t="s">
        <v>11</v>
      </c>
      <c r="D245" t="s">
        <v>12</v>
      </c>
      <c r="E245" t="s">
        <v>22</v>
      </c>
      <c r="F245" s="1">
        <v>42357.52</v>
      </c>
      <c r="G245">
        <v>5</v>
      </c>
      <c r="H245" s="1">
        <v>7645.34</v>
      </c>
      <c r="I245" t="s">
        <v>35</v>
      </c>
      <c r="J245">
        <f>YEAR(Retail_Data[Order_Date])</f>
        <v>2024</v>
      </c>
      <c r="K245" t="str">
        <f>TEXT(Retail_Data[Order_Date],"MMM")</f>
        <v>Aug</v>
      </c>
    </row>
    <row r="246" spans="1:11" x14ac:dyDescent="0.3">
      <c r="A246" t="s">
        <v>461</v>
      </c>
      <c r="B246" t="s">
        <v>48</v>
      </c>
      <c r="C246" t="s">
        <v>26</v>
      </c>
      <c r="D246" t="s">
        <v>12</v>
      </c>
      <c r="E246" t="s">
        <v>22</v>
      </c>
      <c r="F246" s="1">
        <v>13756.89</v>
      </c>
      <c r="G246">
        <v>3</v>
      </c>
      <c r="H246" s="1">
        <v>2283.38</v>
      </c>
      <c r="I246" t="s">
        <v>35</v>
      </c>
      <c r="J246">
        <f>YEAR(Retail_Data[Order_Date])</f>
        <v>2024</v>
      </c>
      <c r="K246" t="str">
        <f>TEXT(Retail_Data[Order_Date],"MMM")</f>
        <v>Oct</v>
      </c>
    </row>
    <row r="247" spans="1:11" x14ac:dyDescent="0.3">
      <c r="A247" t="s">
        <v>462</v>
      </c>
      <c r="B247" t="s">
        <v>463</v>
      </c>
      <c r="C247" t="s">
        <v>26</v>
      </c>
      <c r="D247" t="s">
        <v>12</v>
      </c>
      <c r="E247" t="s">
        <v>22</v>
      </c>
      <c r="F247" s="1">
        <v>33455.589999999997</v>
      </c>
      <c r="G247">
        <v>10</v>
      </c>
      <c r="H247" s="1">
        <v>3428.75</v>
      </c>
      <c r="I247" t="s">
        <v>14</v>
      </c>
      <c r="J247">
        <f>YEAR(Retail_Data[Order_Date])</f>
        <v>2024</v>
      </c>
      <c r="K247" t="str">
        <f>TEXT(Retail_Data[Order_Date],"MMM")</f>
        <v>May</v>
      </c>
    </row>
    <row r="248" spans="1:11" x14ac:dyDescent="0.3">
      <c r="A248" t="s">
        <v>464</v>
      </c>
      <c r="B248" t="s">
        <v>51</v>
      </c>
      <c r="C248" t="s">
        <v>33</v>
      </c>
      <c r="D248" t="s">
        <v>34</v>
      </c>
      <c r="E248" t="s">
        <v>13</v>
      </c>
      <c r="F248" s="1">
        <v>43552.02</v>
      </c>
      <c r="G248">
        <v>9</v>
      </c>
      <c r="H248" s="1">
        <v>8221.86</v>
      </c>
      <c r="I248" t="s">
        <v>14</v>
      </c>
      <c r="J248">
        <f>YEAR(Retail_Data[Order_Date])</f>
        <v>2024</v>
      </c>
      <c r="K248" t="str">
        <f>TEXT(Retail_Data[Order_Date],"MMM")</f>
        <v>Apr</v>
      </c>
    </row>
    <row r="249" spans="1:11" x14ac:dyDescent="0.3">
      <c r="A249" t="s">
        <v>465</v>
      </c>
      <c r="B249" t="s">
        <v>340</v>
      </c>
      <c r="C249" t="s">
        <v>74</v>
      </c>
      <c r="D249" t="s">
        <v>18</v>
      </c>
      <c r="E249" t="s">
        <v>13</v>
      </c>
      <c r="F249" s="1">
        <v>33059.199999999997</v>
      </c>
      <c r="G249">
        <v>10</v>
      </c>
      <c r="H249" s="1">
        <v>1955.48</v>
      </c>
      <c r="I249" t="s">
        <v>35</v>
      </c>
      <c r="J249">
        <f>YEAR(Retail_Data[Order_Date])</f>
        <v>2024</v>
      </c>
      <c r="K249" t="str">
        <f>TEXT(Retail_Data[Order_Date],"MMM")</f>
        <v>Feb</v>
      </c>
    </row>
    <row r="250" spans="1:11" x14ac:dyDescent="0.3">
      <c r="A250" t="s">
        <v>466</v>
      </c>
      <c r="B250" t="s">
        <v>235</v>
      </c>
      <c r="C250" t="s">
        <v>11</v>
      </c>
      <c r="D250" t="s">
        <v>12</v>
      </c>
      <c r="E250" t="s">
        <v>13</v>
      </c>
      <c r="F250" s="1">
        <v>45959.19</v>
      </c>
      <c r="G250">
        <v>3</v>
      </c>
      <c r="H250" s="1">
        <v>3747.55</v>
      </c>
      <c r="I250" t="s">
        <v>14</v>
      </c>
      <c r="J250">
        <f>YEAR(Retail_Data[Order_Date])</f>
        <v>2024</v>
      </c>
      <c r="K250" t="str">
        <f>TEXT(Retail_Data[Order_Date],"MMM")</f>
        <v>Oct</v>
      </c>
    </row>
    <row r="251" spans="1:11" x14ac:dyDescent="0.3">
      <c r="A251" t="s">
        <v>467</v>
      </c>
      <c r="B251" t="s">
        <v>468</v>
      </c>
      <c r="C251" t="s">
        <v>30</v>
      </c>
      <c r="D251" t="s">
        <v>12</v>
      </c>
      <c r="E251" t="s">
        <v>22</v>
      </c>
      <c r="F251" s="1">
        <v>10944.63</v>
      </c>
      <c r="G251">
        <v>9</v>
      </c>
      <c r="H251" s="1">
        <v>2545.77</v>
      </c>
      <c r="I251" t="s">
        <v>23</v>
      </c>
      <c r="J251">
        <f>YEAR(Retail_Data[Order_Date])</f>
        <v>2024</v>
      </c>
      <c r="K251" t="str">
        <f>TEXT(Retail_Data[Order_Date],"MMM")</f>
        <v>Mar</v>
      </c>
    </row>
    <row r="252" spans="1:11" x14ac:dyDescent="0.3">
      <c r="A252" t="s">
        <v>469</v>
      </c>
      <c r="B252" t="s">
        <v>470</v>
      </c>
      <c r="C252" t="s">
        <v>109</v>
      </c>
      <c r="D252" t="s">
        <v>34</v>
      </c>
      <c r="E252" t="s">
        <v>13</v>
      </c>
      <c r="F252" s="1">
        <v>40382.65</v>
      </c>
      <c r="G252">
        <v>9</v>
      </c>
      <c r="H252" s="1">
        <v>5333.83</v>
      </c>
      <c r="I252" t="s">
        <v>35</v>
      </c>
      <c r="J252">
        <f>YEAR(Retail_Data[Order_Date])</f>
        <v>2024</v>
      </c>
      <c r="K252" t="str">
        <f>TEXT(Retail_Data[Order_Date],"MMM")</f>
        <v>Feb</v>
      </c>
    </row>
    <row r="253" spans="1:11" x14ac:dyDescent="0.3">
      <c r="A253" t="s">
        <v>471</v>
      </c>
      <c r="B253" t="s">
        <v>207</v>
      </c>
      <c r="C253" t="s">
        <v>33</v>
      </c>
      <c r="D253" t="s">
        <v>34</v>
      </c>
      <c r="E253" t="s">
        <v>22</v>
      </c>
      <c r="F253" s="1">
        <v>33881.160000000003</v>
      </c>
      <c r="G253">
        <v>5</v>
      </c>
      <c r="H253" s="1">
        <v>6382.43</v>
      </c>
      <c r="I253" t="s">
        <v>14</v>
      </c>
      <c r="J253">
        <f>YEAR(Retail_Data[Order_Date])</f>
        <v>2024</v>
      </c>
      <c r="K253" t="str">
        <f>TEXT(Retail_Data[Order_Date],"MMM")</f>
        <v>Nov</v>
      </c>
    </row>
    <row r="254" spans="1:11" x14ac:dyDescent="0.3">
      <c r="A254" t="s">
        <v>472</v>
      </c>
      <c r="B254" t="s">
        <v>56</v>
      </c>
      <c r="C254" t="s">
        <v>17</v>
      </c>
      <c r="D254" t="s">
        <v>18</v>
      </c>
      <c r="E254" t="s">
        <v>13</v>
      </c>
      <c r="F254" s="1">
        <v>42291.95</v>
      </c>
      <c r="G254">
        <v>3</v>
      </c>
      <c r="H254" s="1">
        <v>8460.2900000000009</v>
      </c>
      <c r="I254" t="s">
        <v>14</v>
      </c>
      <c r="J254">
        <f>YEAR(Retail_Data[Order_Date])</f>
        <v>2024</v>
      </c>
      <c r="K254" t="str">
        <f>TEXT(Retail_Data[Order_Date],"MMM")</f>
        <v>Nov</v>
      </c>
    </row>
    <row r="255" spans="1:11" x14ac:dyDescent="0.3">
      <c r="A255" t="s">
        <v>473</v>
      </c>
      <c r="B255" t="s">
        <v>271</v>
      </c>
      <c r="C255" t="s">
        <v>109</v>
      </c>
      <c r="D255" t="s">
        <v>34</v>
      </c>
      <c r="E255" t="s">
        <v>27</v>
      </c>
      <c r="F255" s="1">
        <v>3572.2</v>
      </c>
      <c r="G255">
        <v>5</v>
      </c>
      <c r="H255" s="1">
        <v>415.99</v>
      </c>
      <c r="I255" t="s">
        <v>14</v>
      </c>
      <c r="J255">
        <f>YEAR(Retail_Data[Order_Date])</f>
        <v>2024</v>
      </c>
      <c r="K255" t="str">
        <f>TEXT(Retail_Data[Order_Date],"MMM")</f>
        <v>May</v>
      </c>
    </row>
    <row r="256" spans="1:11" x14ac:dyDescent="0.3">
      <c r="A256" t="s">
        <v>474</v>
      </c>
      <c r="B256" t="s">
        <v>190</v>
      </c>
      <c r="C256" t="s">
        <v>141</v>
      </c>
      <c r="D256" t="s">
        <v>39</v>
      </c>
      <c r="E256" t="s">
        <v>57</v>
      </c>
      <c r="F256" s="1">
        <v>36830.6</v>
      </c>
      <c r="G256">
        <v>5</v>
      </c>
      <c r="H256" s="1">
        <v>6266.22</v>
      </c>
      <c r="I256" t="s">
        <v>23</v>
      </c>
      <c r="J256">
        <f>YEAR(Retail_Data[Order_Date])</f>
        <v>2024</v>
      </c>
      <c r="K256" t="str">
        <f>TEXT(Retail_Data[Order_Date],"MMM")</f>
        <v>Jun</v>
      </c>
    </row>
    <row r="257" spans="1:11" x14ac:dyDescent="0.3">
      <c r="A257" t="s">
        <v>475</v>
      </c>
      <c r="B257" t="s">
        <v>366</v>
      </c>
      <c r="C257" t="s">
        <v>21</v>
      </c>
      <c r="D257" t="s">
        <v>18</v>
      </c>
      <c r="E257" t="s">
        <v>13</v>
      </c>
      <c r="F257" s="1">
        <v>46391.17</v>
      </c>
      <c r="G257">
        <v>10</v>
      </c>
      <c r="H257" s="1">
        <v>3279.79</v>
      </c>
      <c r="I257" t="s">
        <v>14</v>
      </c>
      <c r="J257">
        <f>YEAR(Retail_Data[Order_Date])</f>
        <v>2024</v>
      </c>
      <c r="K257" t="str">
        <f>TEXT(Retail_Data[Order_Date],"MMM")</f>
        <v>Sep</v>
      </c>
    </row>
    <row r="258" spans="1:11" x14ac:dyDescent="0.3">
      <c r="A258" t="s">
        <v>476</v>
      </c>
      <c r="B258" t="s">
        <v>477</v>
      </c>
      <c r="C258" t="s">
        <v>62</v>
      </c>
      <c r="D258" t="s">
        <v>34</v>
      </c>
      <c r="E258" t="s">
        <v>13</v>
      </c>
      <c r="F258" s="1">
        <v>15649.26</v>
      </c>
      <c r="G258">
        <v>1</v>
      </c>
      <c r="H258" s="1">
        <v>3690.08</v>
      </c>
      <c r="I258" t="s">
        <v>14</v>
      </c>
      <c r="J258">
        <f>YEAR(Retail_Data[Order_Date])</f>
        <v>2024</v>
      </c>
      <c r="K258" t="str">
        <f>TEXT(Retail_Data[Order_Date],"MMM")</f>
        <v>Apr</v>
      </c>
    </row>
    <row r="259" spans="1:11" x14ac:dyDescent="0.3">
      <c r="A259" t="s">
        <v>478</v>
      </c>
      <c r="B259" t="s">
        <v>479</v>
      </c>
      <c r="C259" t="s">
        <v>109</v>
      </c>
      <c r="D259" t="s">
        <v>34</v>
      </c>
      <c r="E259" t="s">
        <v>27</v>
      </c>
      <c r="F259" s="1">
        <v>14962.24</v>
      </c>
      <c r="G259">
        <v>3</v>
      </c>
      <c r="H259" s="1">
        <v>846.57</v>
      </c>
      <c r="I259" t="s">
        <v>35</v>
      </c>
      <c r="J259">
        <f>YEAR(Retail_Data[Order_Date])</f>
        <v>2024</v>
      </c>
      <c r="K259" t="str">
        <f>TEXT(Retail_Data[Order_Date],"MMM")</f>
        <v>Feb</v>
      </c>
    </row>
    <row r="260" spans="1:11" x14ac:dyDescent="0.3">
      <c r="A260" t="s">
        <v>480</v>
      </c>
      <c r="B260" t="s">
        <v>308</v>
      </c>
      <c r="C260" t="s">
        <v>30</v>
      </c>
      <c r="D260" t="s">
        <v>12</v>
      </c>
      <c r="E260" t="s">
        <v>13</v>
      </c>
      <c r="F260" s="1">
        <v>8927.36</v>
      </c>
      <c r="G260">
        <v>6</v>
      </c>
      <c r="H260" s="1">
        <v>454.08</v>
      </c>
      <c r="I260" t="s">
        <v>23</v>
      </c>
      <c r="J260">
        <f>YEAR(Retail_Data[Order_Date])</f>
        <v>2024</v>
      </c>
      <c r="K260" t="str">
        <f>TEXT(Retail_Data[Order_Date],"MMM")</f>
        <v>Oct</v>
      </c>
    </row>
    <row r="261" spans="1:11" x14ac:dyDescent="0.3">
      <c r="A261" t="s">
        <v>481</v>
      </c>
      <c r="B261" t="s">
        <v>111</v>
      </c>
      <c r="C261" t="s">
        <v>21</v>
      </c>
      <c r="D261" t="s">
        <v>18</v>
      </c>
      <c r="E261" t="s">
        <v>13</v>
      </c>
      <c r="F261" s="1">
        <v>41063.5</v>
      </c>
      <c r="G261">
        <v>3</v>
      </c>
      <c r="H261" s="1">
        <v>4365.91</v>
      </c>
      <c r="I261" t="s">
        <v>23</v>
      </c>
      <c r="J261">
        <f>YEAR(Retail_Data[Order_Date])</f>
        <v>2024</v>
      </c>
      <c r="K261" t="str">
        <f>TEXT(Retail_Data[Order_Date],"MMM")</f>
        <v>Jan</v>
      </c>
    </row>
    <row r="262" spans="1:11" x14ac:dyDescent="0.3">
      <c r="A262" t="s">
        <v>482</v>
      </c>
      <c r="B262" t="s">
        <v>348</v>
      </c>
      <c r="C262" t="s">
        <v>93</v>
      </c>
      <c r="D262" t="s">
        <v>39</v>
      </c>
      <c r="E262" t="s">
        <v>27</v>
      </c>
      <c r="F262" s="1">
        <v>39404.33</v>
      </c>
      <c r="G262">
        <v>7</v>
      </c>
      <c r="H262" s="1">
        <v>8237.41</v>
      </c>
      <c r="I262" t="s">
        <v>23</v>
      </c>
      <c r="J262">
        <f>YEAR(Retail_Data[Order_Date])</f>
        <v>2024</v>
      </c>
      <c r="K262" t="str">
        <f>TEXT(Retail_Data[Order_Date],"MMM")</f>
        <v>Nov</v>
      </c>
    </row>
    <row r="263" spans="1:11" x14ac:dyDescent="0.3">
      <c r="A263" t="s">
        <v>483</v>
      </c>
      <c r="B263" t="s">
        <v>402</v>
      </c>
      <c r="C263" t="s">
        <v>30</v>
      </c>
      <c r="D263" t="s">
        <v>12</v>
      </c>
      <c r="E263" t="s">
        <v>57</v>
      </c>
      <c r="F263" s="1">
        <v>46853.46</v>
      </c>
      <c r="G263">
        <v>5</v>
      </c>
      <c r="H263" s="1">
        <v>10672.14</v>
      </c>
      <c r="I263" t="s">
        <v>35</v>
      </c>
      <c r="J263">
        <f>YEAR(Retail_Data[Order_Date])</f>
        <v>2024</v>
      </c>
      <c r="K263" t="str">
        <f>TEXT(Retail_Data[Order_Date],"MMM")</f>
        <v>Oct</v>
      </c>
    </row>
    <row r="264" spans="1:11" x14ac:dyDescent="0.3">
      <c r="A264" t="s">
        <v>484</v>
      </c>
      <c r="B264" t="s">
        <v>485</v>
      </c>
      <c r="C264" t="s">
        <v>109</v>
      </c>
      <c r="D264" t="s">
        <v>34</v>
      </c>
      <c r="E264" t="s">
        <v>13</v>
      </c>
      <c r="F264" s="1">
        <v>27578.45</v>
      </c>
      <c r="G264">
        <v>3</v>
      </c>
      <c r="H264" s="1">
        <v>1702.02</v>
      </c>
      <c r="I264" t="s">
        <v>23</v>
      </c>
      <c r="J264">
        <f>YEAR(Retail_Data[Order_Date])</f>
        <v>2024</v>
      </c>
      <c r="K264" t="str">
        <f>TEXT(Retail_Data[Order_Date],"MMM")</f>
        <v>Mar</v>
      </c>
    </row>
    <row r="265" spans="1:11" x14ac:dyDescent="0.3">
      <c r="A265" t="s">
        <v>486</v>
      </c>
      <c r="B265" t="s">
        <v>293</v>
      </c>
      <c r="C265" t="s">
        <v>11</v>
      </c>
      <c r="D265" t="s">
        <v>12</v>
      </c>
      <c r="E265" t="s">
        <v>22</v>
      </c>
      <c r="F265" s="1">
        <v>38857.599999999999</v>
      </c>
      <c r="G265">
        <v>8</v>
      </c>
      <c r="H265" s="1">
        <v>8322.64</v>
      </c>
      <c r="I265" t="s">
        <v>35</v>
      </c>
      <c r="J265">
        <f>YEAR(Retail_Data[Order_Date])</f>
        <v>2024</v>
      </c>
      <c r="K265" t="str">
        <f>TEXT(Retail_Data[Order_Date],"MMM")</f>
        <v>Jul</v>
      </c>
    </row>
    <row r="266" spans="1:11" x14ac:dyDescent="0.3">
      <c r="A266" t="s">
        <v>487</v>
      </c>
      <c r="B266" t="s">
        <v>488</v>
      </c>
      <c r="C266" t="s">
        <v>30</v>
      </c>
      <c r="D266" t="s">
        <v>12</v>
      </c>
      <c r="E266" t="s">
        <v>13</v>
      </c>
      <c r="F266" s="1">
        <v>44273.64</v>
      </c>
      <c r="G266">
        <v>7</v>
      </c>
      <c r="H266" s="1">
        <v>10387.27</v>
      </c>
      <c r="I266" t="s">
        <v>23</v>
      </c>
      <c r="J266">
        <f>YEAR(Retail_Data[Order_Date])</f>
        <v>2024</v>
      </c>
      <c r="K266" t="str">
        <f>TEXT(Retail_Data[Order_Date],"MMM")</f>
        <v>Jun</v>
      </c>
    </row>
    <row r="267" spans="1:11" x14ac:dyDescent="0.3">
      <c r="A267" t="s">
        <v>489</v>
      </c>
      <c r="B267" t="s">
        <v>186</v>
      </c>
      <c r="C267" t="s">
        <v>141</v>
      </c>
      <c r="D267" t="s">
        <v>39</v>
      </c>
      <c r="E267" t="s">
        <v>27</v>
      </c>
      <c r="F267" s="1">
        <v>48875.05</v>
      </c>
      <c r="G267">
        <v>5</v>
      </c>
      <c r="H267" s="1">
        <v>3965.79</v>
      </c>
      <c r="I267" t="s">
        <v>23</v>
      </c>
      <c r="J267">
        <f>YEAR(Retail_Data[Order_Date])</f>
        <v>2024</v>
      </c>
      <c r="K267" t="str">
        <f>TEXT(Retail_Data[Order_Date],"MMM")</f>
        <v>Sep</v>
      </c>
    </row>
    <row r="268" spans="1:11" x14ac:dyDescent="0.3">
      <c r="A268" t="s">
        <v>490</v>
      </c>
      <c r="B268" t="s">
        <v>284</v>
      </c>
      <c r="C268" t="s">
        <v>93</v>
      </c>
      <c r="D268" t="s">
        <v>39</v>
      </c>
      <c r="E268" t="s">
        <v>57</v>
      </c>
      <c r="F268" s="1">
        <v>43003.12</v>
      </c>
      <c r="G268">
        <v>10</v>
      </c>
      <c r="H268" s="1">
        <v>8913.84</v>
      </c>
      <c r="I268" t="s">
        <v>23</v>
      </c>
      <c r="J268">
        <f>YEAR(Retail_Data[Order_Date])</f>
        <v>2024</v>
      </c>
      <c r="K268" t="str">
        <f>TEXT(Retail_Data[Order_Date],"MMM")</f>
        <v>Dec</v>
      </c>
    </row>
    <row r="269" spans="1:11" x14ac:dyDescent="0.3">
      <c r="A269" t="s">
        <v>491</v>
      </c>
      <c r="B269" t="s">
        <v>492</v>
      </c>
      <c r="C269" t="s">
        <v>33</v>
      </c>
      <c r="D269" t="s">
        <v>34</v>
      </c>
      <c r="E269" t="s">
        <v>13</v>
      </c>
      <c r="F269" s="1">
        <v>19867.169999999998</v>
      </c>
      <c r="G269">
        <v>5</v>
      </c>
      <c r="H269" s="1">
        <v>1345.93</v>
      </c>
      <c r="I269" t="s">
        <v>23</v>
      </c>
      <c r="J269">
        <f>YEAR(Retail_Data[Order_Date])</f>
        <v>2024</v>
      </c>
      <c r="K269" t="str">
        <f>TEXT(Retail_Data[Order_Date],"MMM")</f>
        <v>Jul</v>
      </c>
    </row>
    <row r="270" spans="1:11" x14ac:dyDescent="0.3">
      <c r="A270" t="s">
        <v>493</v>
      </c>
      <c r="B270" t="s">
        <v>494</v>
      </c>
      <c r="C270" t="s">
        <v>21</v>
      </c>
      <c r="D270" t="s">
        <v>18</v>
      </c>
      <c r="E270" t="s">
        <v>13</v>
      </c>
      <c r="F270" s="1">
        <v>16518.830000000002</v>
      </c>
      <c r="G270">
        <v>1</v>
      </c>
      <c r="H270" s="1">
        <v>2362.83</v>
      </c>
      <c r="I270" t="s">
        <v>35</v>
      </c>
      <c r="J270">
        <f>YEAR(Retail_Data[Order_Date])</f>
        <v>2024</v>
      </c>
      <c r="K270" t="str">
        <f>TEXT(Retail_Data[Order_Date],"MMM")</f>
        <v>Mar</v>
      </c>
    </row>
    <row r="271" spans="1:11" x14ac:dyDescent="0.3">
      <c r="A271" t="s">
        <v>495</v>
      </c>
      <c r="B271" t="s">
        <v>468</v>
      </c>
      <c r="C271" t="s">
        <v>109</v>
      </c>
      <c r="D271" t="s">
        <v>34</v>
      </c>
      <c r="E271" t="s">
        <v>13</v>
      </c>
      <c r="F271" s="1">
        <v>32322.93</v>
      </c>
      <c r="G271">
        <v>8</v>
      </c>
      <c r="H271" s="1">
        <v>2314.0500000000002</v>
      </c>
      <c r="I271" t="s">
        <v>23</v>
      </c>
      <c r="J271">
        <f>YEAR(Retail_Data[Order_Date])</f>
        <v>2024</v>
      </c>
      <c r="K271" t="str">
        <f>TEXT(Retail_Data[Order_Date],"MMM")</f>
        <v>Mar</v>
      </c>
    </row>
    <row r="272" spans="1:11" x14ac:dyDescent="0.3">
      <c r="A272" t="s">
        <v>496</v>
      </c>
      <c r="B272" t="s">
        <v>497</v>
      </c>
      <c r="C272" t="s">
        <v>26</v>
      </c>
      <c r="D272" t="s">
        <v>12</v>
      </c>
      <c r="E272" t="s">
        <v>57</v>
      </c>
      <c r="F272" s="1">
        <v>47672.03</v>
      </c>
      <c r="G272">
        <v>3</v>
      </c>
      <c r="H272" s="1">
        <v>6002.64</v>
      </c>
      <c r="I272" t="s">
        <v>35</v>
      </c>
      <c r="J272">
        <f>YEAR(Retail_Data[Order_Date])</f>
        <v>2024</v>
      </c>
      <c r="K272" t="str">
        <f>TEXT(Retail_Data[Order_Date],"MMM")</f>
        <v>Jan</v>
      </c>
    </row>
    <row r="273" spans="1:11" x14ac:dyDescent="0.3">
      <c r="A273" t="s">
        <v>498</v>
      </c>
      <c r="B273" t="s">
        <v>203</v>
      </c>
      <c r="C273" t="s">
        <v>62</v>
      </c>
      <c r="D273" t="s">
        <v>34</v>
      </c>
      <c r="E273" t="s">
        <v>27</v>
      </c>
      <c r="F273" s="1">
        <v>12286.81</v>
      </c>
      <c r="G273">
        <v>7</v>
      </c>
      <c r="H273" s="1">
        <v>2874.82</v>
      </c>
      <c r="I273" t="s">
        <v>23</v>
      </c>
      <c r="J273">
        <f>YEAR(Retail_Data[Order_Date])</f>
        <v>2024</v>
      </c>
      <c r="K273" t="str">
        <f>TEXT(Retail_Data[Order_Date],"MMM")</f>
        <v>Aug</v>
      </c>
    </row>
    <row r="274" spans="1:11" x14ac:dyDescent="0.3">
      <c r="A274" t="s">
        <v>499</v>
      </c>
      <c r="B274" t="s">
        <v>500</v>
      </c>
      <c r="C274" t="s">
        <v>17</v>
      </c>
      <c r="D274" t="s">
        <v>18</v>
      </c>
      <c r="E274" t="s">
        <v>22</v>
      </c>
      <c r="F274" s="1">
        <v>11067.76</v>
      </c>
      <c r="G274">
        <v>6</v>
      </c>
      <c r="H274" s="1">
        <v>2576.21</v>
      </c>
      <c r="I274" t="s">
        <v>14</v>
      </c>
      <c r="J274">
        <f>YEAR(Retail_Data[Order_Date])</f>
        <v>2024</v>
      </c>
      <c r="K274" t="str">
        <f>TEXT(Retail_Data[Order_Date],"MMM")</f>
        <v>Apr</v>
      </c>
    </row>
    <row r="275" spans="1:11" x14ac:dyDescent="0.3">
      <c r="A275" t="s">
        <v>501</v>
      </c>
      <c r="B275" t="s">
        <v>253</v>
      </c>
      <c r="C275" t="s">
        <v>26</v>
      </c>
      <c r="D275" t="s">
        <v>12</v>
      </c>
      <c r="E275" t="s">
        <v>22</v>
      </c>
      <c r="F275" s="1">
        <v>26193.56</v>
      </c>
      <c r="G275">
        <v>1</v>
      </c>
      <c r="H275" s="1">
        <v>2421.62</v>
      </c>
      <c r="I275" t="s">
        <v>35</v>
      </c>
      <c r="J275">
        <f>YEAR(Retail_Data[Order_Date])</f>
        <v>2024</v>
      </c>
      <c r="K275" t="str">
        <f>TEXT(Retail_Data[Order_Date],"MMM")</f>
        <v>Feb</v>
      </c>
    </row>
    <row r="276" spans="1:11" x14ac:dyDescent="0.3">
      <c r="A276" t="s">
        <v>502</v>
      </c>
      <c r="B276" t="s">
        <v>203</v>
      </c>
      <c r="C276" t="s">
        <v>109</v>
      </c>
      <c r="D276" t="s">
        <v>34</v>
      </c>
      <c r="E276" t="s">
        <v>13</v>
      </c>
      <c r="F276" s="1">
        <v>49813.03</v>
      </c>
      <c r="G276">
        <v>2</v>
      </c>
      <c r="H276" s="1">
        <v>6244.69</v>
      </c>
      <c r="I276" t="s">
        <v>23</v>
      </c>
      <c r="J276">
        <f>YEAR(Retail_Data[Order_Date])</f>
        <v>2024</v>
      </c>
      <c r="K276" t="str">
        <f>TEXT(Retail_Data[Order_Date],"MMM")</f>
        <v>Aug</v>
      </c>
    </row>
    <row r="277" spans="1:11" x14ac:dyDescent="0.3">
      <c r="A277" t="s">
        <v>503</v>
      </c>
      <c r="B277" t="s">
        <v>329</v>
      </c>
      <c r="C277" t="s">
        <v>38</v>
      </c>
      <c r="D277" t="s">
        <v>39</v>
      </c>
      <c r="E277" t="s">
        <v>22</v>
      </c>
      <c r="F277" s="1">
        <v>29313.7</v>
      </c>
      <c r="G277">
        <v>1</v>
      </c>
      <c r="H277" s="1">
        <v>5458.01</v>
      </c>
      <c r="I277" t="s">
        <v>14</v>
      </c>
      <c r="J277">
        <f>YEAR(Retail_Data[Order_Date])</f>
        <v>2024</v>
      </c>
      <c r="K277" t="str">
        <f>TEXT(Retail_Data[Order_Date],"MMM")</f>
        <v>Dec</v>
      </c>
    </row>
    <row r="278" spans="1:11" x14ac:dyDescent="0.3">
      <c r="A278" t="s">
        <v>504</v>
      </c>
      <c r="B278" t="s">
        <v>210</v>
      </c>
      <c r="C278" t="s">
        <v>17</v>
      </c>
      <c r="D278" t="s">
        <v>18</v>
      </c>
      <c r="E278" t="s">
        <v>27</v>
      </c>
      <c r="F278" s="1">
        <v>26883.91</v>
      </c>
      <c r="G278">
        <v>3</v>
      </c>
      <c r="H278" s="1">
        <v>4981.7700000000004</v>
      </c>
      <c r="I278" t="s">
        <v>14</v>
      </c>
      <c r="J278">
        <f>YEAR(Retail_Data[Order_Date])</f>
        <v>2024</v>
      </c>
      <c r="K278" t="str">
        <f>TEXT(Retail_Data[Order_Date],"MMM")</f>
        <v>May</v>
      </c>
    </row>
    <row r="279" spans="1:11" x14ac:dyDescent="0.3">
      <c r="A279" t="s">
        <v>505</v>
      </c>
      <c r="B279" t="s">
        <v>506</v>
      </c>
      <c r="C279" t="s">
        <v>30</v>
      </c>
      <c r="D279" t="s">
        <v>12</v>
      </c>
      <c r="E279" t="s">
        <v>57</v>
      </c>
      <c r="F279" s="1">
        <v>34317.79</v>
      </c>
      <c r="G279">
        <v>9</v>
      </c>
      <c r="H279" s="1">
        <v>7220.64</v>
      </c>
      <c r="I279" t="s">
        <v>14</v>
      </c>
      <c r="J279">
        <f>YEAR(Retail_Data[Order_Date])</f>
        <v>2024</v>
      </c>
      <c r="K279" t="str">
        <f>TEXT(Retail_Data[Order_Date],"MMM")</f>
        <v>Apr</v>
      </c>
    </row>
    <row r="280" spans="1:11" x14ac:dyDescent="0.3">
      <c r="A280" t="s">
        <v>507</v>
      </c>
      <c r="B280" t="s">
        <v>508</v>
      </c>
      <c r="C280" t="s">
        <v>21</v>
      </c>
      <c r="D280" t="s">
        <v>18</v>
      </c>
      <c r="E280" t="s">
        <v>27</v>
      </c>
      <c r="F280" s="1">
        <v>49786.77</v>
      </c>
      <c r="G280">
        <v>2</v>
      </c>
      <c r="H280" s="1">
        <v>9427.06</v>
      </c>
      <c r="I280" t="s">
        <v>14</v>
      </c>
      <c r="J280">
        <f>YEAR(Retail_Data[Order_Date])</f>
        <v>2024</v>
      </c>
      <c r="K280" t="str">
        <f>TEXT(Retail_Data[Order_Date],"MMM")</f>
        <v>Jun</v>
      </c>
    </row>
    <row r="281" spans="1:11" x14ac:dyDescent="0.3">
      <c r="A281" t="s">
        <v>509</v>
      </c>
      <c r="B281" t="s">
        <v>314</v>
      </c>
      <c r="C281" t="s">
        <v>141</v>
      </c>
      <c r="D281" t="s">
        <v>39</v>
      </c>
      <c r="E281" t="s">
        <v>57</v>
      </c>
      <c r="F281" s="1">
        <v>23247.19</v>
      </c>
      <c r="G281">
        <v>7</v>
      </c>
      <c r="H281" s="1">
        <v>2056.06</v>
      </c>
      <c r="I281" t="s">
        <v>35</v>
      </c>
      <c r="J281">
        <f>YEAR(Retail_Data[Order_Date])</f>
        <v>2024</v>
      </c>
      <c r="K281" t="str">
        <f>TEXT(Retail_Data[Order_Date],"MMM")</f>
        <v>Oct</v>
      </c>
    </row>
    <row r="282" spans="1:11" x14ac:dyDescent="0.3">
      <c r="A282" t="s">
        <v>510</v>
      </c>
      <c r="B282" t="s">
        <v>352</v>
      </c>
      <c r="C282" t="s">
        <v>69</v>
      </c>
      <c r="D282" t="s">
        <v>34</v>
      </c>
      <c r="E282" t="s">
        <v>13</v>
      </c>
      <c r="F282" s="1">
        <v>4579.05</v>
      </c>
      <c r="G282">
        <v>8</v>
      </c>
      <c r="H282" s="1">
        <v>482.13</v>
      </c>
      <c r="I282" t="s">
        <v>14</v>
      </c>
      <c r="J282">
        <f>YEAR(Retail_Data[Order_Date])</f>
        <v>2024</v>
      </c>
      <c r="K282" t="str">
        <f>TEXT(Retail_Data[Order_Date],"MMM")</f>
        <v>Jan</v>
      </c>
    </row>
    <row r="283" spans="1:11" x14ac:dyDescent="0.3">
      <c r="A283" t="s">
        <v>511</v>
      </c>
      <c r="B283" t="s">
        <v>448</v>
      </c>
      <c r="C283" t="s">
        <v>38</v>
      </c>
      <c r="D283" t="s">
        <v>39</v>
      </c>
      <c r="E283" t="s">
        <v>57</v>
      </c>
      <c r="F283" s="1">
        <v>6127.8</v>
      </c>
      <c r="G283">
        <v>6</v>
      </c>
      <c r="H283" s="1">
        <v>1073.5999999999999</v>
      </c>
      <c r="I283" t="s">
        <v>23</v>
      </c>
      <c r="J283">
        <f>YEAR(Retail_Data[Order_Date])</f>
        <v>2024</v>
      </c>
      <c r="K283" t="str">
        <f>TEXT(Retail_Data[Order_Date],"MMM")</f>
        <v>Sep</v>
      </c>
    </row>
    <row r="284" spans="1:11" x14ac:dyDescent="0.3">
      <c r="A284" t="s">
        <v>512</v>
      </c>
      <c r="B284" t="s">
        <v>513</v>
      </c>
      <c r="C284" t="s">
        <v>54</v>
      </c>
      <c r="D284" t="s">
        <v>18</v>
      </c>
      <c r="E284" t="s">
        <v>57</v>
      </c>
      <c r="F284" s="1">
        <v>49520.61</v>
      </c>
      <c r="G284">
        <v>6</v>
      </c>
      <c r="H284" s="1">
        <v>11164.98</v>
      </c>
      <c r="I284" t="s">
        <v>14</v>
      </c>
      <c r="J284">
        <f>YEAR(Retail_Data[Order_Date])</f>
        <v>2024</v>
      </c>
      <c r="K284" t="str">
        <f>TEXT(Retail_Data[Order_Date],"MMM")</f>
        <v>Dec</v>
      </c>
    </row>
    <row r="285" spans="1:11" x14ac:dyDescent="0.3">
      <c r="A285" t="s">
        <v>514</v>
      </c>
      <c r="B285" t="s">
        <v>515</v>
      </c>
      <c r="C285" t="s">
        <v>54</v>
      </c>
      <c r="D285" t="s">
        <v>18</v>
      </c>
      <c r="E285" t="s">
        <v>13</v>
      </c>
      <c r="F285" s="1">
        <v>29307.96</v>
      </c>
      <c r="G285">
        <v>2</v>
      </c>
      <c r="H285" s="1">
        <v>5092</v>
      </c>
      <c r="I285" t="s">
        <v>14</v>
      </c>
      <c r="J285">
        <f>YEAR(Retail_Data[Order_Date])</f>
        <v>2024</v>
      </c>
      <c r="K285" t="str">
        <f>TEXT(Retail_Data[Order_Date],"MMM")</f>
        <v>Jul</v>
      </c>
    </row>
    <row r="286" spans="1:11" x14ac:dyDescent="0.3">
      <c r="A286" t="s">
        <v>516</v>
      </c>
      <c r="B286" t="s">
        <v>517</v>
      </c>
      <c r="C286" t="s">
        <v>33</v>
      </c>
      <c r="D286" t="s">
        <v>34</v>
      </c>
      <c r="E286" t="s">
        <v>22</v>
      </c>
      <c r="F286" s="1">
        <v>39125.32</v>
      </c>
      <c r="G286">
        <v>6</v>
      </c>
      <c r="H286" s="1">
        <v>5043.82</v>
      </c>
      <c r="I286" t="s">
        <v>14</v>
      </c>
      <c r="J286">
        <f>YEAR(Retail_Data[Order_Date])</f>
        <v>2024</v>
      </c>
      <c r="K286" t="str">
        <f>TEXT(Retail_Data[Order_Date],"MMM")</f>
        <v>Jul</v>
      </c>
    </row>
    <row r="287" spans="1:11" x14ac:dyDescent="0.3">
      <c r="A287" t="s">
        <v>518</v>
      </c>
      <c r="B287" t="s">
        <v>519</v>
      </c>
      <c r="C287" t="s">
        <v>44</v>
      </c>
      <c r="D287" t="s">
        <v>39</v>
      </c>
      <c r="E287" t="s">
        <v>27</v>
      </c>
      <c r="F287" s="1">
        <v>39835.370000000003</v>
      </c>
      <c r="G287">
        <v>8</v>
      </c>
      <c r="H287" s="1">
        <v>6996.97</v>
      </c>
      <c r="I287" t="s">
        <v>35</v>
      </c>
      <c r="J287">
        <f>YEAR(Retail_Data[Order_Date])</f>
        <v>2024</v>
      </c>
      <c r="K287" t="str">
        <f>TEXT(Retail_Data[Order_Date],"MMM")</f>
        <v>Jun</v>
      </c>
    </row>
    <row r="288" spans="1:11" x14ac:dyDescent="0.3">
      <c r="A288" t="s">
        <v>520</v>
      </c>
      <c r="B288" t="s">
        <v>138</v>
      </c>
      <c r="C288" t="s">
        <v>11</v>
      </c>
      <c r="D288" t="s">
        <v>12</v>
      </c>
      <c r="E288" t="s">
        <v>27</v>
      </c>
      <c r="F288" s="1">
        <v>20490.88</v>
      </c>
      <c r="G288">
        <v>4</v>
      </c>
      <c r="H288" s="1">
        <v>2541.7600000000002</v>
      </c>
      <c r="I288" t="s">
        <v>35</v>
      </c>
      <c r="J288">
        <f>YEAR(Retail_Data[Order_Date])</f>
        <v>2024</v>
      </c>
      <c r="K288" t="str">
        <f>TEXT(Retail_Data[Order_Date],"MMM")</f>
        <v>Mar</v>
      </c>
    </row>
    <row r="289" spans="1:11" x14ac:dyDescent="0.3">
      <c r="A289" t="s">
        <v>521</v>
      </c>
      <c r="B289" t="s">
        <v>362</v>
      </c>
      <c r="C289" t="s">
        <v>109</v>
      </c>
      <c r="D289" t="s">
        <v>34</v>
      </c>
      <c r="E289" t="s">
        <v>22</v>
      </c>
      <c r="F289" s="1">
        <v>33850.86</v>
      </c>
      <c r="G289">
        <v>2</v>
      </c>
      <c r="H289" s="1">
        <v>7198.44</v>
      </c>
      <c r="I289" t="s">
        <v>23</v>
      </c>
      <c r="J289">
        <f>YEAR(Retail_Data[Order_Date])</f>
        <v>2024</v>
      </c>
      <c r="K289" t="str">
        <f>TEXT(Retail_Data[Order_Date],"MMM")</f>
        <v>Jul</v>
      </c>
    </row>
    <row r="290" spans="1:11" x14ac:dyDescent="0.3">
      <c r="A290" t="s">
        <v>522</v>
      </c>
      <c r="B290" t="s">
        <v>523</v>
      </c>
      <c r="C290" t="s">
        <v>141</v>
      </c>
      <c r="D290" t="s">
        <v>39</v>
      </c>
      <c r="E290" t="s">
        <v>27</v>
      </c>
      <c r="F290" s="1">
        <v>30103.91</v>
      </c>
      <c r="G290">
        <v>10</v>
      </c>
      <c r="H290" s="1">
        <v>1903.62</v>
      </c>
      <c r="I290" t="s">
        <v>35</v>
      </c>
      <c r="J290">
        <f>YEAR(Retail_Data[Order_Date])</f>
        <v>2024</v>
      </c>
      <c r="K290" t="str">
        <f>TEXT(Retail_Data[Order_Date],"MMM")</f>
        <v>Sep</v>
      </c>
    </row>
    <row r="291" spans="1:11" x14ac:dyDescent="0.3">
      <c r="A291" t="s">
        <v>524</v>
      </c>
      <c r="B291" t="s">
        <v>284</v>
      </c>
      <c r="C291" t="s">
        <v>17</v>
      </c>
      <c r="D291" t="s">
        <v>18</v>
      </c>
      <c r="E291" t="s">
        <v>22</v>
      </c>
      <c r="F291" s="1">
        <v>12647.18</v>
      </c>
      <c r="G291">
        <v>6</v>
      </c>
      <c r="H291" s="1">
        <v>1480.2</v>
      </c>
      <c r="I291" t="s">
        <v>14</v>
      </c>
      <c r="J291">
        <f>YEAR(Retail_Data[Order_Date])</f>
        <v>2024</v>
      </c>
      <c r="K291" t="str">
        <f>TEXT(Retail_Data[Order_Date],"MMM")</f>
        <v>Dec</v>
      </c>
    </row>
    <row r="292" spans="1:11" x14ac:dyDescent="0.3">
      <c r="A292" t="s">
        <v>525</v>
      </c>
      <c r="B292" t="s">
        <v>391</v>
      </c>
      <c r="C292" t="s">
        <v>44</v>
      </c>
      <c r="D292" t="s">
        <v>39</v>
      </c>
      <c r="E292" t="s">
        <v>27</v>
      </c>
      <c r="F292" s="1">
        <v>8756.17</v>
      </c>
      <c r="G292">
        <v>1</v>
      </c>
      <c r="H292" s="1">
        <v>1163.4000000000001</v>
      </c>
      <c r="I292" t="s">
        <v>35</v>
      </c>
      <c r="J292">
        <f>YEAR(Retail_Data[Order_Date])</f>
        <v>2024</v>
      </c>
      <c r="K292" t="str">
        <f>TEXT(Retail_Data[Order_Date],"MMM")</f>
        <v>Dec</v>
      </c>
    </row>
    <row r="293" spans="1:11" x14ac:dyDescent="0.3">
      <c r="A293" t="s">
        <v>526</v>
      </c>
      <c r="B293" t="s">
        <v>160</v>
      </c>
      <c r="C293" t="s">
        <v>54</v>
      </c>
      <c r="D293" t="s">
        <v>18</v>
      </c>
      <c r="E293" t="s">
        <v>57</v>
      </c>
      <c r="F293" s="1">
        <v>32623.96</v>
      </c>
      <c r="G293">
        <v>8</v>
      </c>
      <c r="H293" s="1">
        <v>6930.64</v>
      </c>
      <c r="I293" t="s">
        <v>23</v>
      </c>
      <c r="J293">
        <f>YEAR(Retail_Data[Order_Date])</f>
        <v>2024</v>
      </c>
      <c r="K293" t="str">
        <f>TEXT(Retail_Data[Order_Date],"MMM")</f>
        <v>May</v>
      </c>
    </row>
    <row r="294" spans="1:11" x14ac:dyDescent="0.3">
      <c r="A294" t="s">
        <v>527</v>
      </c>
      <c r="B294" t="s">
        <v>300</v>
      </c>
      <c r="C294" t="s">
        <v>44</v>
      </c>
      <c r="D294" t="s">
        <v>39</v>
      </c>
      <c r="E294" t="s">
        <v>57</v>
      </c>
      <c r="F294" s="1">
        <v>36234.44</v>
      </c>
      <c r="G294">
        <v>5</v>
      </c>
      <c r="H294" s="1">
        <v>7291.83</v>
      </c>
      <c r="I294" t="s">
        <v>35</v>
      </c>
      <c r="J294">
        <f>YEAR(Retail_Data[Order_Date])</f>
        <v>2024</v>
      </c>
      <c r="K294" t="str">
        <f>TEXT(Retail_Data[Order_Date],"MMM")</f>
        <v>Sep</v>
      </c>
    </row>
    <row r="295" spans="1:11" x14ac:dyDescent="0.3">
      <c r="A295" t="s">
        <v>528</v>
      </c>
      <c r="B295" t="s">
        <v>186</v>
      </c>
      <c r="C295" t="s">
        <v>17</v>
      </c>
      <c r="D295" t="s">
        <v>18</v>
      </c>
      <c r="E295" t="s">
        <v>22</v>
      </c>
      <c r="F295" s="1">
        <v>2735.08</v>
      </c>
      <c r="G295">
        <v>3</v>
      </c>
      <c r="H295" s="1">
        <v>404.45</v>
      </c>
      <c r="I295" t="s">
        <v>14</v>
      </c>
      <c r="J295">
        <f>YEAR(Retail_Data[Order_Date])</f>
        <v>2024</v>
      </c>
      <c r="K295" t="str">
        <f>TEXT(Retail_Data[Order_Date],"MMM")</f>
        <v>Sep</v>
      </c>
    </row>
    <row r="296" spans="1:11" x14ac:dyDescent="0.3">
      <c r="A296" t="s">
        <v>529</v>
      </c>
      <c r="B296" t="s">
        <v>370</v>
      </c>
      <c r="C296" t="s">
        <v>49</v>
      </c>
      <c r="D296" t="s">
        <v>12</v>
      </c>
      <c r="E296" t="s">
        <v>13</v>
      </c>
      <c r="F296" s="1">
        <v>48365.97</v>
      </c>
      <c r="G296">
        <v>4</v>
      </c>
      <c r="H296" s="1">
        <v>10119.549999999999</v>
      </c>
      <c r="I296" t="s">
        <v>14</v>
      </c>
      <c r="J296">
        <f>YEAR(Retail_Data[Order_Date])</f>
        <v>2024</v>
      </c>
      <c r="K296" t="str">
        <f>TEXT(Retail_Data[Order_Date],"MMM")</f>
        <v>Jul</v>
      </c>
    </row>
    <row r="297" spans="1:11" x14ac:dyDescent="0.3">
      <c r="A297" t="s">
        <v>530</v>
      </c>
      <c r="B297" t="s">
        <v>130</v>
      </c>
      <c r="C297" t="s">
        <v>17</v>
      </c>
      <c r="D297" t="s">
        <v>18</v>
      </c>
      <c r="E297" t="s">
        <v>13</v>
      </c>
      <c r="F297" s="1">
        <v>42254.879999999997</v>
      </c>
      <c r="G297">
        <v>4</v>
      </c>
      <c r="H297" s="1">
        <v>4701.0600000000004</v>
      </c>
      <c r="I297" t="s">
        <v>35</v>
      </c>
      <c r="J297">
        <f>YEAR(Retail_Data[Order_Date])</f>
        <v>2024</v>
      </c>
      <c r="K297" t="str">
        <f>TEXT(Retail_Data[Order_Date],"MMM")</f>
        <v>Feb</v>
      </c>
    </row>
    <row r="298" spans="1:11" x14ac:dyDescent="0.3">
      <c r="A298" t="s">
        <v>531</v>
      </c>
      <c r="B298" t="s">
        <v>532</v>
      </c>
      <c r="C298" t="s">
        <v>33</v>
      </c>
      <c r="D298" t="s">
        <v>34</v>
      </c>
      <c r="E298" t="s">
        <v>27</v>
      </c>
      <c r="F298" s="1">
        <v>30645.11</v>
      </c>
      <c r="G298">
        <v>4</v>
      </c>
      <c r="H298" s="1">
        <v>4603.63</v>
      </c>
      <c r="I298" t="s">
        <v>35</v>
      </c>
      <c r="J298">
        <f>YEAR(Retail_Data[Order_Date])</f>
        <v>2024</v>
      </c>
      <c r="K298" t="str">
        <f>TEXT(Retail_Data[Order_Date],"MMM")</f>
        <v>Dec</v>
      </c>
    </row>
    <row r="299" spans="1:11" x14ac:dyDescent="0.3">
      <c r="A299" t="s">
        <v>533</v>
      </c>
      <c r="B299" t="s">
        <v>282</v>
      </c>
      <c r="C299" t="s">
        <v>54</v>
      </c>
      <c r="D299" t="s">
        <v>18</v>
      </c>
      <c r="E299" t="s">
        <v>22</v>
      </c>
      <c r="F299" s="1">
        <v>2056.85</v>
      </c>
      <c r="G299">
        <v>6</v>
      </c>
      <c r="H299" s="1">
        <v>228.49</v>
      </c>
      <c r="I299" t="s">
        <v>23</v>
      </c>
      <c r="J299">
        <f>YEAR(Retail_Data[Order_Date])</f>
        <v>2024</v>
      </c>
      <c r="K299" t="str">
        <f>TEXT(Retail_Data[Order_Date],"MMM")</f>
        <v>Sep</v>
      </c>
    </row>
    <row r="300" spans="1:11" x14ac:dyDescent="0.3">
      <c r="A300" t="s">
        <v>534</v>
      </c>
      <c r="B300" t="s">
        <v>535</v>
      </c>
      <c r="C300" t="s">
        <v>44</v>
      </c>
      <c r="D300" t="s">
        <v>39</v>
      </c>
      <c r="E300" t="s">
        <v>57</v>
      </c>
      <c r="F300" s="1">
        <v>42061.96</v>
      </c>
      <c r="G300">
        <v>9</v>
      </c>
      <c r="H300" s="1">
        <v>9342.01</v>
      </c>
      <c r="I300" t="s">
        <v>23</v>
      </c>
      <c r="J300">
        <f>YEAR(Retail_Data[Order_Date])</f>
        <v>2024</v>
      </c>
      <c r="K300" t="str">
        <f>TEXT(Retail_Data[Order_Date],"MMM")</f>
        <v>May</v>
      </c>
    </row>
    <row r="301" spans="1:11" x14ac:dyDescent="0.3">
      <c r="A301" t="s">
        <v>536</v>
      </c>
      <c r="B301" t="s">
        <v>237</v>
      </c>
      <c r="C301" t="s">
        <v>11</v>
      </c>
      <c r="D301" t="s">
        <v>12</v>
      </c>
      <c r="E301" t="s">
        <v>27</v>
      </c>
      <c r="F301" s="1">
        <v>4731.78</v>
      </c>
      <c r="G301">
        <v>6</v>
      </c>
      <c r="H301" s="1">
        <v>1041.68</v>
      </c>
      <c r="I301" t="s">
        <v>23</v>
      </c>
      <c r="J301">
        <f>YEAR(Retail_Data[Order_Date])</f>
        <v>2024</v>
      </c>
      <c r="K301" t="str">
        <f>TEXT(Retail_Data[Order_Date],"MMM")</f>
        <v>Mar</v>
      </c>
    </row>
    <row r="302" spans="1:11" x14ac:dyDescent="0.3">
      <c r="A302" t="s">
        <v>537</v>
      </c>
      <c r="B302" t="s">
        <v>538</v>
      </c>
      <c r="C302" t="s">
        <v>21</v>
      </c>
      <c r="D302" t="s">
        <v>18</v>
      </c>
      <c r="E302" t="s">
        <v>13</v>
      </c>
      <c r="F302" s="1">
        <v>20786.259999999998</v>
      </c>
      <c r="G302">
        <v>5</v>
      </c>
      <c r="H302" s="1">
        <v>3415.01</v>
      </c>
      <c r="I302" t="s">
        <v>35</v>
      </c>
      <c r="J302">
        <f>YEAR(Retail_Data[Order_Date])</f>
        <v>2024</v>
      </c>
      <c r="K302" t="str">
        <f>TEXT(Retail_Data[Order_Date],"MMM")</f>
        <v>Mar</v>
      </c>
    </row>
    <row r="303" spans="1:11" x14ac:dyDescent="0.3">
      <c r="A303" t="s">
        <v>539</v>
      </c>
      <c r="B303" t="s">
        <v>455</v>
      </c>
      <c r="C303" t="s">
        <v>33</v>
      </c>
      <c r="D303" t="s">
        <v>34</v>
      </c>
      <c r="E303" t="s">
        <v>27</v>
      </c>
      <c r="F303" s="1">
        <v>12433.56</v>
      </c>
      <c r="G303">
        <v>9</v>
      </c>
      <c r="H303" s="1">
        <v>2469.06</v>
      </c>
      <c r="I303" t="s">
        <v>23</v>
      </c>
      <c r="J303">
        <f>YEAR(Retail_Data[Order_Date])</f>
        <v>2024</v>
      </c>
      <c r="K303" t="str">
        <f>TEXT(Retail_Data[Order_Date],"MMM")</f>
        <v>Aug</v>
      </c>
    </row>
    <row r="304" spans="1:11" x14ac:dyDescent="0.3">
      <c r="A304" t="s">
        <v>540</v>
      </c>
      <c r="B304" t="s">
        <v>541</v>
      </c>
      <c r="C304" t="s">
        <v>44</v>
      </c>
      <c r="D304" t="s">
        <v>39</v>
      </c>
      <c r="E304" t="s">
        <v>27</v>
      </c>
      <c r="F304" s="1">
        <v>29612.77</v>
      </c>
      <c r="G304">
        <v>6</v>
      </c>
      <c r="H304" s="1">
        <v>1803.03</v>
      </c>
      <c r="I304" t="s">
        <v>35</v>
      </c>
      <c r="J304">
        <f>YEAR(Retail_Data[Order_Date])</f>
        <v>2024</v>
      </c>
      <c r="K304" t="str">
        <f>TEXT(Retail_Data[Order_Date],"MMM")</f>
        <v>Jun</v>
      </c>
    </row>
    <row r="305" spans="1:11" x14ac:dyDescent="0.3">
      <c r="A305" t="s">
        <v>542</v>
      </c>
      <c r="B305" t="s">
        <v>253</v>
      </c>
      <c r="C305" t="s">
        <v>62</v>
      </c>
      <c r="D305" t="s">
        <v>34</v>
      </c>
      <c r="E305" t="s">
        <v>22</v>
      </c>
      <c r="F305" s="1">
        <v>5191.6099999999997</v>
      </c>
      <c r="G305">
        <v>9</v>
      </c>
      <c r="H305" s="1">
        <v>537.35</v>
      </c>
      <c r="I305" t="s">
        <v>23</v>
      </c>
      <c r="J305">
        <f>YEAR(Retail_Data[Order_Date])</f>
        <v>2024</v>
      </c>
      <c r="K305" t="str">
        <f>TEXT(Retail_Data[Order_Date],"MMM")</f>
        <v>Feb</v>
      </c>
    </row>
    <row r="306" spans="1:11" x14ac:dyDescent="0.3">
      <c r="A306" t="s">
        <v>543</v>
      </c>
      <c r="B306" t="s">
        <v>160</v>
      </c>
      <c r="C306" t="s">
        <v>17</v>
      </c>
      <c r="D306" t="s">
        <v>18</v>
      </c>
      <c r="E306" t="s">
        <v>22</v>
      </c>
      <c r="F306" s="1">
        <v>16240.19</v>
      </c>
      <c r="G306">
        <v>5</v>
      </c>
      <c r="H306" s="1">
        <v>994.06</v>
      </c>
      <c r="I306" t="s">
        <v>14</v>
      </c>
      <c r="J306">
        <f>YEAR(Retail_Data[Order_Date])</f>
        <v>2024</v>
      </c>
      <c r="K306" t="str">
        <f>TEXT(Retail_Data[Order_Date],"MMM")</f>
        <v>May</v>
      </c>
    </row>
    <row r="307" spans="1:11" x14ac:dyDescent="0.3">
      <c r="A307" t="s">
        <v>544</v>
      </c>
      <c r="B307" t="s">
        <v>182</v>
      </c>
      <c r="C307" t="s">
        <v>109</v>
      </c>
      <c r="D307" t="s">
        <v>34</v>
      </c>
      <c r="E307" t="s">
        <v>57</v>
      </c>
      <c r="F307" s="1">
        <v>4740.8599999999997</v>
      </c>
      <c r="G307">
        <v>1</v>
      </c>
      <c r="H307" s="1">
        <v>551.69000000000005</v>
      </c>
      <c r="I307" t="s">
        <v>14</v>
      </c>
      <c r="J307">
        <f>YEAR(Retail_Data[Order_Date])</f>
        <v>2024</v>
      </c>
      <c r="K307" t="str">
        <f>TEXT(Retail_Data[Order_Date],"MMM")</f>
        <v>Aug</v>
      </c>
    </row>
    <row r="308" spans="1:11" x14ac:dyDescent="0.3">
      <c r="A308" t="s">
        <v>545</v>
      </c>
      <c r="B308" t="s">
        <v>546</v>
      </c>
      <c r="C308" t="s">
        <v>33</v>
      </c>
      <c r="D308" t="s">
        <v>34</v>
      </c>
      <c r="E308" t="s">
        <v>57</v>
      </c>
      <c r="F308" s="1">
        <v>35939.35</v>
      </c>
      <c r="G308">
        <v>5</v>
      </c>
      <c r="H308" s="1">
        <v>2075.1</v>
      </c>
      <c r="I308" t="s">
        <v>14</v>
      </c>
      <c r="J308">
        <f>YEAR(Retail_Data[Order_Date])</f>
        <v>2024</v>
      </c>
      <c r="K308" t="str">
        <f>TEXT(Retail_Data[Order_Date],"MMM")</f>
        <v>Oct</v>
      </c>
    </row>
    <row r="309" spans="1:11" x14ac:dyDescent="0.3">
      <c r="A309" t="s">
        <v>547</v>
      </c>
      <c r="B309" t="s">
        <v>548</v>
      </c>
      <c r="C309" t="s">
        <v>38</v>
      </c>
      <c r="D309" t="s">
        <v>39</v>
      </c>
      <c r="E309" t="s">
        <v>27</v>
      </c>
      <c r="F309" s="1">
        <v>49744.59</v>
      </c>
      <c r="G309">
        <v>5</v>
      </c>
      <c r="H309" s="1">
        <v>11167.08</v>
      </c>
      <c r="I309" t="s">
        <v>23</v>
      </c>
      <c r="J309">
        <f>YEAR(Retail_Data[Order_Date])</f>
        <v>2024</v>
      </c>
      <c r="K309" t="str">
        <f>TEXT(Retail_Data[Order_Date],"MMM")</f>
        <v>Apr</v>
      </c>
    </row>
    <row r="310" spans="1:11" x14ac:dyDescent="0.3">
      <c r="A310" t="s">
        <v>549</v>
      </c>
      <c r="B310" t="s">
        <v>372</v>
      </c>
      <c r="C310" t="s">
        <v>62</v>
      </c>
      <c r="D310" t="s">
        <v>34</v>
      </c>
      <c r="E310" t="s">
        <v>13</v>
      </c>
      <c r="F310" s="1">
        <v>9167.74</v>
      </c>
      <c r="G310">
        <v>5</v>
      </c>
      <c r="H310" s="1">
        <v>1567.04</v>
      </c>
      <c r="I310" t="s">
        <v>23</v>
      </c>
      <c r="J310">
        <f>YEAR(Retail_Data[Order_Date])</f>
        <v>2024</v>
      </c>
      <c r="K310" t="str">
        <f>TEXT(Retail_Data[Order_Date],"MMM")</f>
        <v>Feb</v>
      </c>
    </row>
    <row r="311" spans="1:11" x14ac:dyDescent="0.3">
      <c r="A311" t="s">
        <v>550</v>
      </c>
      <c r="B311" t="s">
        <v>551</v>
      </c>
      <c r="C311" t="s">
        <v>26</v>
      </c>
      <c r="D311" t="s">
        <v>12</v>
      </c>
      <c r="E311" t="s">
        <v>27</v>
      </c>
      <c r="F311" s="1">
        <v>37528.730000000003</v>
      </c>
      <c r="G311">
        <v>2</v>
      </c>
      <c r="H311" s="1">
        <v>8646.2800000000007</v>
      </c>
      <c r="I311" t="s">
        <v>23</v>
      </c>
      <c r="J311">
        <f>YEAR(Retail_Data[Order_Date])</f>
        <v>2024</v>
      </c>
      <c r="K311" t="str">
        <f>TEXT(Retail_Data[Order_Date],"MMM")</f>
        <v>Feb</v>
      </c>
    </row>
    <row r="312" spans="1:11" x14ac:dyDescent="0.3">
      <c r="A312" t="s">
        <v>552</v>
      </c>
      <c r="B312" t="s">
        <v>553</v>
      </c>
      <c r="C312" t="s">
        <v>49</v>
      </c>
      <c r="D312" t="s">
        <v>12</v>
      </c>
      <c r="E312" t="s">
        <v>57</v>
      </c>
      <c r="F312" s="1">
        <v>12768.01</v>
      </c>
      <c r="G312">
        <v>1</v>
      </c>
      <c r="H312" s="1">
        <v>3075.15</v>
      </c>
      <c r="I312" t="s">
        <v>35</v>
      </c>
      <c r="J312">
        <f>YEAR(Retail_Data[Order_Date])</f>
        <v>2024</v>
      </c>
      <c r="K312" t="str">
        <f>TEXT(Retail_Data[Order_Date],"MMM")</f>
        <v>Aug</v>
      </c>
    </row>
    <row r="313" spans="1:11" x14ac:dyDescent="0.3">
      <c r="A313" t="s">
        <v>554</v>
      </c>
      <c r="B313" t="s">
        <v>519</v>
      </c>
      <c r="C313" t="s">
        <v>93</v>
      </c>
      <c r="D313" t="s">
        <v>39</v>
      </c>
      <c r="E313" t="s">
        <v>27</v>
      </c>
      <c r="F313" s="1">
        <v>3352.88</v>
      </c>
      <c r="G313">
        <v>8</v>
      </c>
      <c r="H313" s="1">
        <v>374.26</v>
      </c>
      <c r="I313" t="s">
        <v>23</v>
      </c>
      <c r="J313">
        <f>YEAR(Retail_Data[Order_Date])</f>
        <v>2024</v>
      </c>
      <c r="K313" t="str">
        <f>TEXT(Retail_Data[Order_Date],"MMM")</f>
        <v>Jun</v>
      </c>
    </row>
    <row r="314" spans="1:11" x14ac:dyDescent="0.3">
      <c r="A314" t="s">
        <v>555</v>
      </c>
      <c r="B314" t="s">
        <v>325</v>
      </c>
      <c r="C314" t="s">
        <v>44</v>
      </c>
      <c r="D314" t="s">
        <v>39</v>
      </c>
      <c r="E314" t="s">
        <v>27</v>
      </c>
      <c r="F314" s="1">
        <v>40706.769999999997</v>
      </c>
      <c r="G314">
        <v>6</v>
      </c>
      <c r="H314" s="1">
        <v>2711.34</v>
      </c>
      <c r="I314" t="s">
        <v>23</v>
      </c>
      <c r="J314">
        <f>YEAR(Retail_Data[Order_Date])</f>
        <v>2024</v>
      </c>
      <c r="K314" t="str">
        <f>TEXT(Retail_Data[Order_Date],"MMM")</f>
        <v>Jan</v>
      </c>
    </row>
    <row r="315" spans="1:11" x14ac:dyDescent="0.3">
      <c r="A315" t="s">
        <v>556</v>
      </c>
      <c r="B315" t="s">
        <v>253</v>
      </c>
      <c r="C315" t="s">
        <v>54</v>
      </c>
      <c r="D315" t="s">
        <v>18</v>
      </c>
      <c r="E315" t="s">
        <v>22</v>
      </c>
      <c r="F315" s="1">
        <v>11561.88</v>
      </c>
      <c r="G315">
        <v>7</v>
      </c>
      <c r="H315" s="1">
        <v>2310.08</v>
      </c>
      <c r="I315" t="s">
        <v>14</v>
      </c>
      <c r="J315">
        <f>YEAR(Retail_Data[Order_Date])</f>
        <v>2024</v>
      </c>
      <c r="K315" t="str">
        <f>TEXT(Retail_Data[Order_Date],"MMM")</f>
        <v>Feb</v>
      </c>
    </row>
    <row r="316" spans="1:11" x14ac:dyDescent="0.3">
      <c r="A316" t="s">
        <v>557</v>
      </c>
      <c r="B316" t="s">
        <v>205</v>
      </c>
      <c r="C316" t="s">
        <v>17</v>
      </c>
      <c r="D316" t="s">
        <v>18</v>
      </c>
      <c r="E316" t="s">
        <v>27</v>
      </c>
      <c r="F316" s="1">
        <v>20139.54</v>
      </c>
      <c r="G316">
        <v>8</v>
      </c>
      <c r="H316" s="1">
        <v>4748.12</v>
      </c>
      <c r="I316" t="s">
        <v>35</v>
      </c>
      <c r="J316">
        <f>YEAR(Retail_Data[Order_Date])</f>
        <v>2024</v>
      </c>
      <c r="K316" t="str">
        <f>TEXT(Retail_Data[Order_Date],"MMM")</f>
        <v>Jan</v>
      </c>
    </row>
    <row r="317" spans="1:11" x14ac:dyDescent="0.3">
      <c r="A317" t="s">
        <v>558</v>
      </c>
      <c r="B317" t="s">
        <v>249</v>
      </c>
      <c r="C317" t="s">
        <v>38</v>
      </c>
      <c r="D317" t="s">
        <v>39</v>
      </c>
      <c r="E317" t="s">
        <v>22</v>
      </c>
      <c r="F317" s="1">
        <v>19565.18</v>
      </c>
      <c r="G317">
        <v>4</v>
      </c>
      <c r="H317" s="1">
        <v>4793.0600000000004</v>
      </c>
      <c r="I317" t="s">
        <v>35</v>
      </c>
      <c r="J317">
        <f>YEAR(Retail_Data[Order_Date])</f>
        <v>2024</v>
      </c>
      <c r="K317" t="str">
        <f>TEXT(Retail_Data[Order_Date],"MMM")</f>
        <v>May</v>
      </c>
    </row>
    <row r="318" spans="1:11" x14ac:dyDescent="0.3">
      <c r="A318" t="s">
        <v>559</v>
      </c>
      <c r="B318" t="s">
        <v>560</v>
      </c>
      <c r="C318" t="s">
        <v>33</v>
      </c>
      <c r="D318" t="s">
        <v>34</v>
      </c>
      <c r="E318" t="s">
        <v>57</v>
      </c>
      <c r="F318" s="1">
        <v>39742.51</v>
      </c>
      <c r="G318">
        <v>6</v>
      </c>
      <c r="H318" s="1">
        <v>8544.48</v>
      </c>
      <c r="I318" t="s">
        <v>14</v>
      </c>
      <c r="J318">
        <f>YEAR(Retail_Data[Order_Date])</f>
        <v>2024</v>
      </c>
      <c r="K318" t="str">
        <f>TEXT(Retail_Data[Order_Date],"MMM")</f>
        <v>Apr</v>
      </c>
    </row>
    <row r="319" spans="1:11" x14ac:dyDescent="0.3">
      <c r="A319" t="s">
        <v>561</v>
      </c>
      <c r="B319" t="s">
        <v>562</v>
      </c>
      <c r="C319" t="s">
        <v>109</v>
      </c>
      <c r="D319" t="s">
        <v>34</v>
      </c>
      <c r="E319" t="s">
        <v>22</v>
      </c>
      <c r="F319" s="1">
        <v>40976.480000000003</v>
      </c>
      <c r="G319">
        <v>2</v>
      </c>
      <c r="H319" s="1">
        <v>4720.57</v>
      </c>
      <c r="I319" t="s">
        <v>14</v>
      </c>
      <c r="J319">
        <f>YEAR(Retail_Data[Order_Date])</f>
        <v>2024</v>
      </c>
      <c r="K319" t="str">
        <f>TEXT(Retail_Data[Order_Date],"MMM")</f>
        <v>Nov</v>
      </c>
    </row>
    <row r="320" spans="1:11" x14ac:dyDescent="0.3">
      <c r="A320" t="s">
        <v>563</v>
      </c>
      <c r="B320" t="s">
        <v>564</v>
      </c>
      <c r="C320" t="s">
        <v>69</v>
      </c>
      <c r="D320" t="s">
        <v>34</v>
      </c>
      <c r="E320" t="s">
        <v>13</v>
      </c>
      <c r="F320" s="1">
        <v>25890.39</v>
      </c>
      <c r="G320">
        <v>4</v>
      </c>
      <c r="H320" s="1">
        <v>3599.89</v>
      </c>
      <c r="I320" t="s">
        <v>23</v>
      </c>
      <c r="J320">
        <f>YEAR(Retail_Data[Order_Date])</f>
        <v>2024</v>
      </c>
      <c r="K320" t="str">
        <f>TEXT(Retail_Data[Order_Date],"MMM")</f>
        <v>Dec</v>
      </c>
    </row>
    <row r="321" spans="1:11" x14ac:dyDescent="0.3">
      <c r="A321" t="s">
        <v>565</v>
      </c>
      <c r="B321" t="s">
        <v>284</v>
      </c>
      <c r="C321" t="s">
        <v>109</v>
      </c>
      <c r="D321" t="s">
        <v>34</v>
      </c>
      <c r="E321" t="s">
        <v>13</v>
      </c>
      <c r="F321" s="1">
        <v>9732.27</v>
      </c>
      <c r="G321">
        <v>4</v>
      </c>
      <c r="H321" s="1">
        <v>1244.17</v>
      </c>
      <c r="I321" t="s">
        <v>14</v>
      </c>
      <c r="J321">
        <f>YEAR(Retail_Data[Order_Date])</f>
        <v>2024</v>
      </c>
      <c r="K321" t="str">
        <f>TEXT(Retail_Data[Order_Date],"MMM")</f>
        <v>Dec</v>
      </c>
    </row>
    <row r="322" spans="1:11" x14ac:dyDescent="0.3">
      <c r="A322" t="s">
        <v>566</v>
      </c>
      <c r="B322" t="s">
        <v>567</v>
      </c>
      <c r="C322" t="s">
        <v>109</v>
      </c>
      <c r="D322" t="s">
        <v>34</v>
      </c>
      <c r="E322" t="s">
        <v>22</v>
      </c>
      <c r="F322" s="1">
        <v>37450.129999999997</v>
      </c>
      <c r="G322">
        <v>3</v>
      </c>
      <c r="H322" s="1">
        <v>6468.41</v>
      </c>
      <c r="I322" t="s">
        <v>23</v>
      </c>
      <c r="J322">
        <f>YEAR(Retail_Data[Order_Date])</f>
        <v>2024</v>
      </c>
      <c r="K322" t="str">
        <f>TEXT(Retail_Data[Order_Date],"MMM")</f>
        <v>Mar</v>
      </c>
    </row>
    <row r="323" spans="1:11" x14ac:dyDescent="0.3">
      <c r="A323" t="s">
        <v>568</v>
      </c>
      <c r="B323" t="s">
        <v>352</v>
      </c>
      <c r="C323" t="s">
        <v>109</v>
      </c>
      <c r="D323" t="s">
        <v>34</v>
      </c>
      <c r="E323" t="s">
        <v>27</v>
      </c>
      <c r="F323" s="1">
        <v>23977.33</v>
      </c>
      <c r="G323">
        <v>4</v>
      </c>
      <c r="H323" s="1">
        <v>2107.2600000000002</v>
      </c>
      <c r="I323" t="s">
        <v>14</v>
      </c>
      <c r="J323">
        <f>YEAR(Retail_Data[Order_Date])</f>
        <v>2024</v>
      </c>
      <c r="K323" t="str">
        <f>TEXT(Retail_Data[Order_Date],"MMM")</f>
        <v>Jan</v>
      </c>
    </row>
    <row r="324" spans="1:11" x14ac:dyDescent="0.3">
      <c r="A324" t="s">
        <v>569</v>
      </c>
      <c r="B324" t="s">
        <v>570</v>
      </c>
      <c r="C324" t="s">
        <v>62</v>
      </c>
      <c r="D324" t="s">
        <v>34</v>
      </c>
      <c r="E324" t="s">
        <v>27</v>
      </c>
      <c r="F324" s="1">
        <v>2147.4499999999998</v>
      </c>
      <c r="G324">
        <v>4</v>
      </c>
      <c r="H324" s="1">
        <v>127.91</v>
      </c>
      <c r="I324" t="s">
        <v>14</v>
      </c>
      <c r="J324">
        <f>YEAR(Retail_Data[Order_Date])</f>
        <v>2024</v>
      </c>
      <c r="K324" t="str">
        <f>TEXT(Retail_Data[Order_Date],"MMM")</f>
        <v>Nov</v>
      </c>
    </row>
    <row r="325" spans="1:11" x14ac:dyDescent="0.3">
      <c r="A325" t="s">
        <v>571</v>
      </c>
      <c r="B325" t="s">
        <v>572</v>
      </c>
      <c r="C325" t="s">
        <v>49</v>
      </c>
      <c r="D325" t="s">
        <v>12</v>
      </c>
      <c r="E325" t="s">
        <v>57</v>
      </c>
      <c r="F325" s="1">
        <v>31836.78</v>
      </c>
      <c r="G325">
        <v>8</v>
      </c>
      <c r="H325" s="1">
        <v>2856.87</v>
      </c>
      <c r="I325" t="s">
        <v>14</v>
      </c>
      <c r="J325">
        <f>YEAR(Retail_Data[Order_Date])</f>
        <v>2024</v>
      </c>
      <c r="K325" t="str">
        <f>TEXT(Retail_Data[Order_Date],"MMM")</f>
        <v>Feb</v>
      </c>
    </row>
    <row r="326" spans="1:11" x14ac:dyDescent="0.3">
      <c r="A326" t="s">
        <v>573</v>
      </c>
      <c r="B326" t="s">
        <v>184</v>
      </c>
      <c r="C326" t="s">
        <v>44</v>
      </c>
      <c r="D326" t="s">
        <v>39</v>
      </c>
      <c r="E326" t="s">
        <v>27</v>
      </c>
      <c r="F326" s="1">
        <v>7481.7</v>
      </c>
      <c r="G326">
        <v>7</v>
      </c>
      <c r="H326" s="1">
        <v>1712.15</v>
      </c>
      <c r="I326" t="s">
        <v>35</v>
      </c>
      <c r="J326">
        <f>YEAR(Retail_Data[Order_Date])</f>
        <v>2024</v>
      </c>
      <c r="K326" t="str">
        <f>TEXT(Retail_Data[Order_Date],"MMM")</f>
        <v>Dec</v>
      </c>
    </row>
    <row r="327" spans="1:11" x14ac:dyDescent="0.3">
      <c r="A327" t="s">
        <v>574</v>
      </c>
      <c r="B327" t="s">
        <v>575</v>
      </c>
      <c r="C327" t="s">
        <v>49</v>
      </c>
      <c r="D327" t="s">
        <v>12</v>
      </c>
      <c r="E327" t="s">
        <v>13</v>
      </c>
      <c r="F327" s="1">
        <v>8360.26</v>
      </c>
      <c r="G327">
        <v>3</v>
      </c>
      <c r="H327" s="1">
        <v>454.06</v>
      </c>
      <c r="I327" t="s">
        <v>35</v>
      </c>
      <c r="J327">
        <f>YEAR(Retail_Data[Order_Date])</f>
        <v>2024</v>
      </c>
      <c r="K327" t="str">
        <f>TEXT(Retail_Data[Order_Date],"MMM")</f>
        <v>Sep</v>
      </c>
    </row>
    <row r="328" spans="1:11" x14ac:dyDescent="0.3">
      <c r="A328" t="s">
        <v>576</v>
      </c>
      <c r="B328" t="s">
        <v>577</v>
      </c>
      <c r="C328" t="s">
        <v>21</v>
      </c>
      <c r="D328" t="s">
        <v>18</v>
      </c>
      <c r="E328" t="s">
        <v>22</v>
      </c>
      <c r="F328" s="1">
        <v>38017.550000000003</v>
      </c>
      <c r="G328">
        <v>10</v>
      </c>
      <c r="H328" s="1">
        <v>4416.8500000000004</v>
      </c>
      <c r="I328" t="s">
        <v>35</v>
      </c>
      <c r="J328">
        <f>YEAR(Retail_Data[Order_Date])</f>
        <v>2024</v>
      </c>
      <c r="K328" t="str">
        <f>TEXT(Retail_Data[Order_Date],"MMM")</f>
        <v>Aug</v>
      </c>
    </row>
    <row r="329" spans="1:11" x14ac:dyDescent="0.3">
      <c r="A329" t="s">
        <v>578</v>
      </c>
      <c r="B329" t="s">
        <v>293</v>
      </c>
      <c r="C329" t="s">
        <v>93</v>
      </c>
      <c r="D329" t="s">
        <v>39</v>
      </c>
      <c r="E329" t="s">
        <v>22</v>
      </c>
      <c r="F329" s="1">
        <v>17568.09</v>
      </c>
      <c r="G329">
        <v>10</v>
      </c>
      <c r="H329" s="1">
        <v>892.53</v>
      </c>
      <c r="I329" t="s">
        <v>14</v>
      </c>
      <c r="J329">
        <f>YEAR(Retail_Data[Order_Date])</f>
        <v>2024</v>
      </c>
      <c r="K329" t="str">
        <f>TEXT(Retail_Data[Order_Date],"MMM")</f>
        <v>Jul</v>
      </c>
    </row>
    <row r="330" spans="1:11" x14ac:dyDescent="0.3">
      <c r="A330" t="s">
        <v>579</v>
      </c>
      <c r="B330" t="s">
        <v>580</v>
      </c>
      <c r="C330" t="s">
        <v>21</v>
      </c>
      <c r="D330" t="s">
        <v>18</v>
      </c>
      <c r="E330" t="s">
        <v>13</v>
      </c>
      <c r="F330" s="1">
        <v>18630.669999999998</v>
      </c>
      <c r="G330">
        <v>7</v>
      </c>
      <c r="H330" s="1">
        <v>4338.83</v>
      </c>
      <c r="I330" t="s">
        <v>35</v>
      </c>
      <c r="J330">
        <f>YEAR(Retail_Data[Order_Date])</f>
        <v>2024</v>
      </c>
      <c r="K330" t="str">
        <f>TEXT(Retail_Data[Order_Date],"MMM")</f>
        <v>Aug</v>
      </c>
    </row>
    <row r="331" spans="1:11" x14ac:dyDescent="0.3">
      <c r="A331" t="s">
        <v>581</v>
      </c>
      <c r="B331" t="s">
        <v>100</v>
      </c>
      <c r="C331" t="s">
        <v>17</v>
      </c>
      <c r="D331" t="s">
        <v>18</v>
      </c>
      <c r="E331" t="s">
        <v>57</v>
      </c>
      <c r="F331" s="1">
        <v>47602.33</v>
      </c>
      <c r="G331">
        <v>6</v>
      </c>
      <c r="H331" s="1">
        <v>5857.72</v>
      </c>
      <c r="I331" t="s">
        <v>35</v>
      </c>
      <c r="J331">
        <f>YEAR(Retail_Data[Order_Date])</f>
        <v>2024</v>
      </c>
      <c r="K331" t="str">
        <f>TEXT(Retail_Data[Order_Date],"MMM")</f>
        <v>Sep</v>
      </c>
    </row>
    <row r="332" spans="1:11" x14ac:dyDescent="0.3">
      <c r="A332" t="s">
        <v>582</v>
      </c>
      <c r="B332" t="s">
        <v>583</v>
      </c>
      <c r="C332" t="s">
        <v>44</v>
      </c>
      <c r="D332" t="s">
        <v>39</v>
      </c>
      <c r="E332" t="s">
        <v>13</v>
      </c>
      <c r="F332" s="1">
        <v>4041.13</v>
      </c>
      <c r="G332">
        <v>3</v>
      </c>
      <c r="H332" s="1">
        <v>313.62</v>
      </c>
      <c r="I332" t="s">
        <v>14</v>
      </c>
      <c r="J332">
        <f>YEAR(Retail_Data[Order_Date])</f>
        <v>2024</v>
      </c>
      <c r="K332" t="str">
        <f>TEXT(Retail_Data[Order_Date],"MMM")</f>
        <v>Feb</v>
      </c>
    </row>
    <row r="333" spans="1:11" x14ac:dyDescent="0.3">
      <c r="A333" t="s">
        <v>584</v>
      </c>
      <c r="B333" t="s">
        <v>585</v>
      </c>
      <c r="C333" t="s">
        <v>141</v>
      </c>
      <c r="D333" t="s">
        <v>39</v>
      </c>
      <c r="E333" t="s">
        <v>27</v>
      </c>
      <c r="F333" s="1">
        <v>6440.5</v>
      </c>
      <c r="G333">
        <v>6</v>
      </c>
      <c r="H333" s="1">
        <v>875.32</v>
      </c>
      <c r="I333" t="s">
        <v>23</v>
      </c>
      <c r="J333">
        <f>YEAR(Retail_Data[Order_Date])</f>
        <v>2024</v>
      </c>
      <c r="K333" t="str">
        <f>TEXT(Retail_Data[Order_Date],"MMM")</f>
        <v>Nov</v>
      </c>
    </row>
    <row r="334" spans="1:11" x14ac:dyDescent="0.3">
      <c r="A334" t="s">
        <v>586</v>
      </c>
      <c r="B334" t="s">
        <v>587</v>
      </c>
      <c r="C334" t="s">
        <v>17</v>
      </c>
      <c r="D334" t="s">
        <v>18</v>
      </c>
      <c r="E334" t="s">
        <v>27</v>
      </c>
      <c r="F334" s="1">
        <v>34540.03</v>
      </c>
      <c r="G334">
        <v>2</v>
      </c>
      <c r="H334" s="1">
        <v>2882.97</v>
      </c>
      <c r="I334" t="s">
        <v>23</v>
      </c>
      <c r="J334">
        <f>YEAR(Retail_Data[Order_Date])</f>
        <v>2024</v>
      </c>
      <c r="K334" t="str">
        <f>TEXT(Retail_Data[Order_Date],"MMM")</f>
        <v>Jan</v>
      </c>
    </row>
    <row r="335" spans="1:11" x14ac:dyDescent="0.3">
      <c r="A335" t="s">
        <v>588</v>
      </c>
      <c r="B335" t="s">
        <v>391</v>
      </c>
      <c r="C335" t="s">
        <v>69</v>
      </c>
      <c r="D335" t="s">
        <v>34</v>
      </c>
      <c r="E335" t="s">
        <v>57</v>
      </c>
      <c r="F335" s="1">
        <v>11359.79</v>
      </c>
      <c r="G335">
        <v>8</v>
      </c>
      <c r="H335" s="1">
        <v>985.7</v>
      </c>
      <c r="I335" t="s">
        <v>35</v>
      </c>
      <c r="J335">
        <f>YEAR(Retail_Data[Order_Date])</f>
        <v>2024</v>
      </c>
      <c r="K335" t="str">
        <f>TEXT(Retail_Data[Order_Date],"MMM")</f>
        <v>Dec</v>
      </c>
    </row>
    <row r="336" spans="1:11" x14ac:dyDescent="0.3">
      <c r="A336" t="s">
        <v>589</v>
      </c>
      <c r="B336" t="s">
        <v>488</v>
      </c>
      <c r="C336" t="s">
        <v>74</v>
      </c>
      <c r="D336" t="s">
        <v>18</v>
      </c>
      <c r="E336" t="s">
        <v>27</v>
      </c>
      <c r="F336" s="1">
        <v>29801.48</v>
      </c>
      <c r="G336">
        <v>4</v>
      </c>
      <c r="H336" s="1">
        <v>5626.38</v>
      </c>
      <c r="I336" t="s">
        <v>14</v>
      </c>
      <c r="J336">
        <f>YEAR(Retail_Data[Order_Date])</f>
        <v>2024</v>
      </c>
      <c r="K336" t="str">
        <f>TEXT(Retail_Data[Order_Date],"MMM")</f>
        <v>Jun</v>
      </c>
    </row>
    <row r="337" spans="1:11" x14ac:dyDescent="0.3">
      <c r="A337" t="s">
        <v>590</v>
      </c>
      <c r="B337" t="s">
        <v>591</v>
      </c>
      <c r="C337" t="s">
        <v>44</v>
      </c>
      <c r="D337" t="s">
        <v>39</v>
      </c>
      <c r="E337" t="s">
        <v>22</v>
      </c>
      <c r="F337" s="1">
        <v>48282.61</v>
      </c>
      <c r="G337">
        <v>3</v>
      </c>
      <c r="H337" s="1">
        <v>7671.26</v>
      </c>
      <c r="I337" t="s">
        <v>14</v>
      </c>
      <c r="J337">
        <f>YEAR(Retail_Data[Order_Date])</f>
        <v>2024</v>
      </c>
      <c r="K337" t="str">
        <f>TEXT(Retail_Data[Order_Date],"MMM")</f>
        <v>Apr</v>
      </c>
    </row>
    <row r="338" spans="1:11" x14ac:dyDescent="0.3">
      <c r="A338" t="s">
        <v>592</v>
      </c>
      <c r="B338" t="s">
        <v>108</v>
      </c>
      <c r="C338" t="s">
        <v>44</v>
      </c>
      <c r="D338" t="s">
        <v>39</v>
      </c>
      <c r="E338" t="s">
        <v>27</v>
      </c>
      <c r="F338" s="1">
        <v>37311.69</v>
      </c>
      <c r="G338">
        <v>5</v>
      </c>
      <c r="H338" s="1">
        <v>7152.92</v>
      </c>
      <c r="I338" t="s">
        <v>14</v>
      </c>
      <c r="J338">
        <f>YEAR(Retail_Data[Order_Date])</f>
        <v>2024</v>
      </c>
      <c r="K338" t="str">
        <f>TEXT(Retail_Data[Order_Date],"MMM")</f>
        <v>Feb</v>
      </c>
    </row>
    <row r="339" spans="1:11" x14ac:dyDescent="0.3">
      <c r="A339" t="s">
        <v>593</v>
      </c>
      <c r="B339" t="s">
        <v>594</v>
      </c>
      <c r="C339" t="s">
        <v>44</v>
      </c>
      <c r="D339" t="s">
        <v>39</v>
      </c>
      <c r="E339" t="s">
        <v>13</v>
      </c>
      <c r="F339" s="1">
        <v>29644.06</v>
      </c>
      <c r="G339">
        <v>2</v>
      </c>
      <c r="H339" s="1">
        <v>2579.29</v>
      </c>
      <c r="I339" t="s">
        <v>23</v>
      </c>
      <c r="J339">
        <f>YEAR(Retail_Data[Order_Date])</f>
        <v>2024</v>
      </c>
      <c r="K339" t="str">
        <f>TEXT(Retail_Data[Order_Date],"MMM")</f>
        <v>Dec</v>
      </c>
    </row>
    <row r="340" spans="1:11" x14ac:dyDescent="0.3">
      <c r="A340" t="s">
        <v>595</v>
      </c>
      <c r="B340" t="s">
        <v>508</v>
      </c>
      <c r="C340" t="s">
        <v>30</v>
      </c>
      <c r="D340" t="s">
        <v>12</v>
      </c>
      <c r="E340" t="s">
        <v>13</v>
      </c>
      <c r="F340" s="1">
        <v>42102.68</v>
      </c>
      <c r="G340">
        <v>7</v>
      </c>
      <c r="H340" s="1">
        <v>9314.9</v>
      </c>
      <c r="I340" t="s">
        <v>35</v>
      </c>
      <c r="J340">
        <f>YEAR(Retail_Data[Order_Date])</f>
        <v>2024</v>
      </c>
      <c r="K340" t="str">
        <f>TEXT(Retail_Data[Order_Date],"MMM")</f>
        <v>Jun</v>
      </c>
    </row>
    <row r="341" spans="1:11" x14ac:dyDescent="0.3">
      <c r="A341" t="s">
        <v>596</v>
      </c>
      <c r="B341" t="s">
        <v>415</v>
      </c>
      <c r="C341" t="s">
        <v>54</v>
      </c>
      <c r="D341" t="s">
        <v>18</v>
      </c>
      <c r="E341" t="s">
        <v>27</v>
      </c>
      <c r="F341" s="1">
        <v>46215.48</v>
      </c>
      <c r="G341">
        <v>7</v>
      </c>
      <c r="H341" s="1">
        <v>2342.6999999999998</v>
      </c>
      <c r="I341" t="s">
        <v>35</v>
      </c>
      <c r="J341">
        <f>YEAR(Retail_Data[Order_Date])</f>
        <v>2024</v>
      </c>
      <c r="K341" t="str">
        <f>TEXT(Retail_Data[Order_Date],"MMM")</f>
        <v>Mar</v>
      </c>
    </row>
    <row r="342" spans="1:11" x14ac:dyDescent="0.3">
      <c r="A342" t="s">
        <v>597</v>
      </c>
      <c r="B342" t="s">
        <v>598</v>
      </c>
      <c r="C342" t="s">
        <v>54</v>
      </c>
      <c r="D342" t="s">
        <v>18</v>
      </c>
      <c r="E342" t="s">
        <v>13</v>
      </c>
      <c r="F342" s="1">
        <v>27761.14</v>
      </c>
      <c r="G342">
        <v>10</v>
      </c>
      <c r="H342" s="1">
        <v>4623.55</v>
      </c>
      <c r="I342" t="s">
        <v>35</v>
      </c>
      <c r="J342">
        <f>YEAR(Retail_Data[Order_Date])</f>
        <v>2024</v>
      </c>
      <c r="K342" t="str">
        <f>TEXT(Retail_Data[Order_Date],"MMM")</f>
        <v>Oct</v>
      </c>
    </row>
    <row r="343" spans="1:11" x14ac:dyDescent="0.3">
      <c r="A343" t="s">
        <v>599</v>
      </c>
      <c r="B343" t="s">
        <v>600</v>
      </c>
      <c r="C343" t="s">
        <v>21</v>
      </c>
      <c r="D343" t="s">
        <v>18</v>
      </c>
      <c r="E343" t="s">
        <v>22</v>
      </c>
      <c r="F343" s="1">
        <v>8906.39</v>
      </c>
      <c r="G343">
        <v>8</v>
      </c>
      <c r="H343" s="1">
        <v>1146.17</v>
      </c>
      <c r="I343" t="s">
        <v>23</v>
      </c>
      <c r="J343">
        <f>YEAR(Retail_Data[Order_Date])</f>
        <v>2024</v>
      </c>
      <c r="K343" t="str">
        <f>TEXT(Retail_Data[Order_Date],"MMM")</f>
        <v>May</v>
      </c>
    </row>
    <row r="344" spans="1:11" x14ac:dyDescent="0.3">
      <c r="A344" t="s">
        <v>601</v>
      </c>
      <c r="B344" t="s">
        <v>513</v>
      </c>
      <c r="C344" t="s">
        <v>33</v>
      </c>
      <c r="D344" t="s">
        <v>34</v>
      </c>
      <c r="E344" t="s">
        <v>27</v>
      </c>
      <c r="F344" s="1">
        <v>3184.54</v>
      </c>
      <c r="G344">
        <v>10</v>
      </c>
      <c r="H344" s="1">
        <v>608.97</v>
      </c>
      <c r="I344" t="s">
        <v>35</v>
      </c>
      <c r="J344">
        <f>YEAR(Retail_Data[Order_Date])</f>
        <v>2024</v>
      </c>
      <c r="K344" t="str">
        <f>TEXT(Retail_Data[Order_Date],"MMM")</f>
        <v>Dec</v>
      </c>
    </row>
    <row r="345" spans="1:11" x14ac:dyDescent="0.3">
      <c r="A345" t="s">
        <v>602</v>
      </c>
      <c r="B345" t="s">
        <v>203</v>
      </c>
      <c r="C345" t="s">
        <v>38</v>
      </c>
      <c r="D345" t="s">
        <v>39</v>
      </c>
      <c r="E345" t="s">
        <v>27</v>
      </c>
      <c r="F345" s="1">
        <v>13981.77</v>
      </c>
      <c r="G345">
        <v>5</v>
      </c>
      <c r="H345" s="1">
        <v>1404.2</v>
      </c>
      <c r="I345" t="s">
        <v>23</v>
      </c>
      <c r="J345">
        <f>YEAR(Retail_Data[Order_Date])</f>
        <v>2024</v>
      </c>
      <c r="K345" t="str">
        <f>TEXT(Retail_Data[Order_Date],"MMM")</f>
        <v>Aug</v>
      </c>
    </row>
    <row r="346" spans="1:11" x14ac:dyDescent="0.3">
      <c r="A346" t="s">
        <v>603</v>
      </c>
      <c r="B346" t="s">
        <v>201</v>
      </c>
      <c r="C346" t="s">
        <v>33</v>
      </c>
      <c r="D346" t="s">
        <v>34</v>
      </c>
      <c r="E346" t="s">
        <v>13</v>
      </c>
      <c r="F346" s="1">
        <v>25070.85</v>
      </c>
      <c r="G346">
        <v>5</v>
      </c>
      <c r="H346" s="1">
        <v>1890.29</v>
      </c>
      <c r="I346" t="s">
        <v>23</v>
      </c>
      <c r="J346">
        <f>YEAR(Retail_Data[Order_Date])</f>
        <v>2024</v>
      </c>
      <c r="K346" t="str">
        <f>TEXT(Retail_Data[Order_Date],"MMM")</f>
        <v>Jan</v>
      </c>
    </row>
    <row r="347" spans="1:11" x14ac:dyDescent="0.3">
      <c r="A347" t="s">
        <v>604</v>
      </c>
      <c r="B347" t="s">
        <v>121</v>
      </c>
      <c r="C347" t="s">
        <v>69</v>
      </c>
      <c r="D347" t="s">
        <v>34</v>
      </c>
      <c r="E347" t="s">
        <v>27</v>
      </c>
      <c r="F347" s="1">
        <v>26606.58</v>
      </c>
      <c r="G347">
        <v>9</v>
      </c>
      <c r="H347" s="1">
        <v>3029.79</v>
      </c>
      <c r="I347" t="s">
        <v>23</v>
      </c>
      <c r="J347">
        <f>YEAR(Retail_Data[Order_Date])</f>
        <v>2024</v>
      </c>
      <c r="K347" t="str">
        <f>TEXT(Retail_Data[Order_Date],"MMM")</f>
        <v>Feb</v>
      </c>
    </row>
    <row r="348" spans="1:11" x14ac:dyDescent="0.3">
      <c r="A348" t="s">
        <v>605</v>
      </c>
      <c r="B348" t="s">
        <v>606</v>
      </c>
      <c r="C348" t="s">
        <v>49</v>
      </c>
      <c r="D348" t="s">
        <v>12</v>
      </c>
      <c r="E348" t="s">
        <v>57</v>
      </c>
      <c r="F348" s="1">
        <v>45687.43</v>
      </c>
      <c r="G348">
        <v>4</v>
      </c>
      <c r="H348" s="1">
        <v>7670.78</v>
      </c>
      <c r="I348" t="s">
        <v>23</v>
      </c>
      <c r="J348">
        <f>YEAR(Retail_Data[Order_Date])</f>
        <v>2024</v>
      </c>
      <c r="K348" t="str">
        <f>TEXT(Retail_Data[Order_Date],"MMM")</f>
        <v>Sep</v>
      </c>
    </row>
    <row r="349" spans="1:11" x14ac:dyDescent="0.3">
      <c r="A349" t="s">
        <v>607</v>
      </c>
      <c r="B349" t="s">
        <v>121</v>
      </c>
      <c r="C349" t="s">
        <v>21</v>
      </c>
      <c r="D349" t="s">
        <v>18</v>
      </c>
      <c r="E349" t="s">
        <v>22</v>
      </c>
      <c r="F349" s="1">
        <v>29395.77</v>
      </c>
      <c r="G349">
        <v>9</v>
      </c>
      <c r="H349" s="1">
        <v>1994.47</v>
      </c>
      <c r="I349" t="s">
        <v>23</v>
      </c>
      <c r="J349">
        <f>YEAR(Retail_Data[Order_Date])</f>
        <v>2024</v>
      </c>
      <c r="K349" t="str">
        <f>TEXT(Retail_Data[Order_Date],"MMM")</f>
        <v>Feb</v>
      </c>
    </row>
    <row r="350" spans="1:11" x14ac:dyDescent="0.3">
      <c r="A350" t="s">
        <v>608</v>
      </c>
      <c r="B350" t="s">
        <v>479</v>
      </c>
      <c r="C350" t="s">
        <v>93</v>
      </c>
      <c r="D350" t="s">
        <v>39</v>
      </c>
      <c r="E350" t="s">
        <v>27</v>
      </c>
      <c r="F350" s="1">
        <v>46786.68</v>
      </c>
      <c r="G350">
        <v>8</v>
      </c>
      <c r="H350" s="1">
        <v>7947.09</v>
      </c>
      <c r="I350" t="s">
        <v>23</v>
      </c>
      <c r="J350">
        <f>YEAR(Retail_Data[Order_Date])</f>
        <v>2024</v>
      </c>
      <c r="K350" t="str">
        <f>TEXT(Retail_Data[Order_Date],"MMM")</f>
        <v>Feb</v>
      </c>
    </row>
    <row r="351" spans="1:11" x14ac:dyDescent="0.3">
      <c r="A351" t="s">
        <v>609</v>
      </c>
      <c r="B351" t="s">
        <v>610</v>
      </c>
      <c r="C351" t="s">
        <v>44</v>
      </c>
      <c r="D351" t="s">
        <v>39</v>
      </c>
      <c r="E351" t="s">
        <v>13</v>
      </c>
      <c r="F351" s="1">
        <v>32770.83</v>
      </c>
      <c r="G351">
        <v>8</v>
      </c>
      <c r="H351" s="1">
        <v>6440.76</v>
      </c>
      <c r="I351" t="s">
        <v>35</v>
      </c>
      <c r="J351">
        <f>YEAR(Retail_Data[Order_Date])</f>
        <v>2024</v>
      </c>
      <c r="K351" t="str">
        <f>TEXT(Retail_Data[Order_Date],"MMM")</f>
        <v>Dec</v>
      </c>
    </row>
    <row r="352" spans="1:11" x14ac:dyDescent="0.3">
      <c r="A352" t="s">
        <v>611</v>
      </c>
      <c r="B352" t="s">
        <v>612</v>
      </c>
      <c r="C352" t="s">
        <v>38</v>
      </c>
      <c r="D352" t="s">
        <v>39</v>
      </c>
      <c r="E352" t="s">
        <v>22</v>
      </c>
      <c r="F352" s="1">
        <v>18965.57</v>
      </c>
      <c r="G352">
        <v>3</v>
      </c>
      <c r="H352" s="1">
        <v>1730.17</v>
      </c>
      <c r="I352" t="s">
        <v>35</v>
      </c>
      <c r="J352">
        <f>YEAR(Retail_Data[Order_Date])</f>
        <v>2024</v>
      </c>
      <c r="K352" t="str">
        <f>TEXT(Retail_Data[Order_Date],"MMM")</f>
        <v>Sep</v>
      </c>
    </row>
    <row r="353" spans="1:11" x14ac:dyDescent="0.3">
      <c r="A353" t="s">
        <v>613</v>
      </c>
      <c r="B353" t="s">
        <v>158</v>
      </c>
      <c r="C353" t="s">
        <v>11</v>
      </c>
      <c r="D353" t="s">
        <v>12</v>
      </c>
      <c r="E353" t="s">
        <v>22</v>
      </c>
      <c r="F353" s="1">
        <v>13089.36</v>
      </c>
      <c r="G353">
        <v>1</v>
      </c>
      <c r="H353" s="1">
        <v>819.68</v>
      </c>
      <c r="I353" t="s">
        <v>23</v>
      </c>
      <c r="J353">
        <f>YEAR(Retail_Data[Order_Date])</f>
        <v>2024</v>
      </c>
      <c r="K353" t="str">
        <f>TEXT(Retail_Data[Order_Date],"MMM")</f>
        <v>Jul</v>
      </c>
    </row>
    <row r="354" spans="1:11" x14ac:dyDescent="0.3">
      <c r="A354" t="s">
        <v>614</v>
      </c>
      <c r="B354" t="s">
        <v>615</v>
      </c>
      <c r="C354" t="s">
        <v>109</v>
      </c>
      <c r="D354" t="s">
        <v>34</v>
      </c>
      <c r="E354" t="s">
        <v>57</v>
      </c>
      <c r="F354" s="1">
        <v>31202.02</v>
      </c>
      <c r="G354">
        <v>6</v>
      </c>
      <c r="H354" s="1">
        <v>2583.79</v>
      </c>
      <c r="I354" t="s">
        <v>23</v>
      </c>
      <c r="J354">
        <f>YEAR(Retail_Data[Order_Date])</f>
        <v>2024</v>
      </c>
      <c r="K354" t="str">
        <f>TEXT(Retail_Data[Order_Date],"MMM")</f>
        <v>Oct</v>
      </c>
    </row>
    <row r="355" spans="1:11" x14ac:dyDescent="0.3">
      <c r="A355" t="s">
        <v>616</v>
      </c>
      <c r="B355" t="s">
        <v>617</v>
      </c>
      <c r="C355" t="s">
        <v>33</v>
      </c>
      <c r="D355" t="s">
        <v>34</v>
      </c>
      <c r="E355" t="s">
        <v>22</v>
      </c>
      <c r="F355" s="1">
        <v>49921.22</v>
      </c>
      <c r="G355">
        <v>5</v>
      </c>
      <c r="H355" s="1">
        <v>9899.59</v>
      </c>
      <c r="I355" t="s">
        <v>14</v>
      </c>
      <c r="J355">
        <f>YEAR(Retail_Data[Order_Date])</f>
        <v>2024</v>
      </c>
      <c r="K355" t="str">
        <f>TEXT(Retail_Data[Order_Date],"MMM")</f>
        <v>Jun</v>
      </c>
    </row>
    <row r="356" spans="1:11" x14ac:dyDescent="0.3">
      <c r="A356" t="s">
        <v>618</v>
      </c>
      <c r="B356" t="s">
        <v>619</v>
      </c>
      <c r="C356" t="s">
        <v>74</v>
      </c>
      <c r="D356" t="s">
        <v>18</v>
      </c>
      <c r="E356" t="s">
        <v>22</v>
      </c>
      <c r="F356" s="1">
        <v>8028.58</v>
      </c>
      <c r="G356">
        <v>3</v>
      </c>
      <c r="H356" s="1">
        <v>1834.7</v>
      </c>
      <c r="I356" t="s">
        <v>35</v>
      </c>
      <c r="J356">
        <f>YEAR(Retail_Data[Order_Date])</f>
        <v>2024</v>
      </c>
      <c r="K356" t="str">
        <f>TEXT(Retail_Data[Order_Date],"MMM")</f>
        <v>Feb</v>
      </c>
    </row>
    <row r="357" spans="1:11" x14ac:dyDescent="0.3">
      <c r="A357" t="s">
        <v>620</v>
      </c>
      <c r="B357" t="s">
        <v>460</v>
      </c>
      <c r="C357" t="s">
        <v>17</v>
      </c>
      <c r="D357" t="s">
        <v>18</v>
      </c>
      <c r="E357" t="s">
        <v>27</v>
      </c>
      <c r="F357" s="1">
        <v>15543.39</v>
      </c>
      <c r="G357">
        <v>2</v>
      </c>
      <c r="H357" s="1">
        <v>1444.37</v>
      </c>
      <c r="I357" t="s">
        <v>14</v>
      </c>
      <c r="J357">
        <f>YEAR(Retail_Data[Order_Date])</f>
        <v>2024</v>
      </c>
      <c r="K357" t="str">
        <f>TEXT(Retail_Data[Order_Date],"MMM")</f>
        <v>Aug</v>
      </c>
    </row>
    <row r="358" spans="1:11" x14ac:dyDescent="0.3">
      <c r="A358" t="s">
        <v>621</v>
      </c>
      <c r="B358" t="s">
        <v>622</v>
      </c>
      <c r="C358" t="s">
        <v>74</v>
      </c>
      <c r="D358" t="s">
        <v>18</v>
      </c>
      <c r="E358" t="s">
        <v>13</v>
      </c>
      <c r="F358" s="1">
        <v>15944.91</v>
      </c>
      <c r="G358">
        <v>10</v>
      </c>
      <c r="H358" s="1">
        <v>2060.19</v>
      </c>
      <c r="I358" t="s">
        <v>14</v>
      </c>
      <c r="J358">
        <f>YEAR(Retail_Data[Order_Date])</f>
        <v>2024</v>
      </c>
      <c r="K358" t="str">
        <f>TEXT(Retail_Data[Order_Date],"MMM")</f>
        <v>Oct</v>
      </c>
    </row>
    <row r="359" spans="1:11" x14ac:dyDescent="0.3">
      <c r="A359" t="s">
        <v>623</v>
      </c>
      <c r="B359" t="s">
        <v>318</v>
      </c>
      <c r="C359" t="s">
        <v>141</v>
      </c>
      <c r="D359" t="s">
        <v>39</v>
      </c>
      <c r="E359" t="s">
        <v>27</v>
      </c>
      <c r="F359" s="1">
        <v>44380.86</v>
      </c>
      <c r="G359">
        <v>9</v>
      </c>
      <c r="H359" s="1">
        <v>3396.89</v>
      </c>
      <c r="I359" t="s">
        <v>14</v>
      </c>
      <c r="J359">
        <f>YEAR(Retail_Data[Order_Date])</f>
        <v>2024</v>
      </c>
      <c r="K359" t="str">
        <f>TEXT(Retail_Data[Order_Date],"MMM")</f>
        <v>Jun</v>
      </c>
    </row>
    <row r="360" spans="1:11" x14ac:dyDescent="0.3">
      <c r="A360" t="s">
        <v>624</v>
      </c>
      <c r="B360" t="s">
        <v>625</v>
      </c>
      <c r="C360" t="s">
        <v>30</v>
      </c>
      <c r="D360" t="s">
        <v>12</v>
      </c>
      <c r="E360" t="s">
        <v>27</v>
      </c>
      <c r="F360" s="1">
        <v>16326.15</v>
      </c>
      <c r="G360">
        <v>4</v>
      </c>
      <c r="H360" s="1">
        <v>1076.21</v>
      </c>
      <c r="I360" t="s">
        <v>35</v>
      </c>
      <c r="J360">
        <f>YEAR(Retail_Data[Order_Date])</f>
        <v>2024</v>
      </c>
      <c r="K360" t="str">
        <f>TEXT(Retail_Data[Order_Date],"MMM")</f>
        <v>Mar</v>
      </c>
    </row>
    <row r="361" spans="1:11" x14ac:dyDescent="0.3">
      <c r="A361" t="s">
        <v>626</v>
      </c>
      <c r="B361" t="s">
        <v>627</v>
      </c>
      <c r="C361" t="s">
        <v>62</v>
      </c>
      <c r="D361" t="s">
        <v>34</v>
      </c>
      <c r="E361" t="s">
        <v>13</v>
      </c>
      <c r="F361" s="1">
        <v>26429.64</v>
      </c>
      <c r="G361">
        <v>9</v>
      </c>
      <c r="H361" s="1">
        <v>5590.47</v>
      </c>
      <c r="I361" t="s">
        <v>23</v>
      </c>
      <c r="J361">
        <f>YEAR(Retail_Data[Order_Date])</f>
        <v>2024</v>
      </c>
      <c r="K361" t="str">
        <f>TEXT(Retail_Data[Order_Date],"MMM")</f>
        <v>Mar</v>
      </c>
    </row>
    <row r="362" spans="1:11" x14ac:dyDescent="0.3">
      <c r="A362" t="s">
        <v>628</v>
      </c>
      <c r="B362" t="s">
        <v>629</v>
      </c>
      <c r="C362" t="s">
        <v>69</v>
      </c>
      <c r="D362" t="s">
        <v>34</v>
      </c>
      <c r="E362" t="s">
        <v>27</v>
      </c>
      <c r="F362" s="1">
        <v>2052.65</v>
      </c>
      <c r="G362">
        <v>6</v>
      </c>
      <c r="H362" s="1">
        <v>399.7</v>
      </c>
      <c r="I362" t="s">
        <v>35</v>
      </c>
      <c r="J362">
        <f>YEAR(Retail_Data[Order_Date])</f>
        <v>2024</v>
      </c>
      <c r="K362" t="str">
        <f>TEXT(Retail_Data[Order_Date],"MMM")</f>
        <v>Apr</v>
      </c>
    </row>
    <row r="363" spans="1:11" x14ac:dyDescent="0.3">
      <c r="A363" t="s">
        <v>630</v>
      </c>
      <c r="B363" t="s">
        <v>249</v>
      </c>
      <c r="C363" t="s">
        <v>109</v>
      </c>
      <c r="D363" t="s">
        <v>34</v>
      </c>
      <c r="E363" t="s">
        <v>22</v>
      </c>
      <c r="F363" s="1">
        <v>15687.95</v>
      </c>
      <c r="G363">
        <v>7</v>
      </c>
      <c r="H363" s="1">
        <v>1806.41</v>
      </c>
      <c r="I363" t="s">
        <v>14</v>
      </c>
      <c r="J363">
        <f>YEAR(Retail_Data[Order_Date])</f>
        <v>2024</v>
      </c>
      <c r="K363" t="str">
        <f>TEXT(Retail_Data[Order_Date],"MMM")</f>
        <v>May</v>
      </c>
    </row>
    <row r="364" spans="1:11" x14ac:dyDescent="0.3">
      <c r="A364" t="s">
        <v>631</v>
      </c>
      <c r="B364" t="s">
        <v>212</v>
      </c>
      <c r="C364" t="s">
        <v>49</v>
      </c>
      <c r="D364" t="s">
        <v>12</v>
      </c>
      <c r="E364" t="s">
        <v>57</v>
      </c>
      <c r="F364" s="1">
        <v>777.56</v>
      </c>
      <c r="G364">
        <v>9</v>
      </c>
      <c r="H364" s="1">
        <v>126.56</v>
      </c>
      <c r="I364" t="s">
        <v>35</v>
      </c>
      <c r="J364">
        <f>YEAR(Retail_Data[Order_Date])</f>
        <v>2024</v>
      </c>
      <c r="K364" t="str">
        <f>TEXT(Retail_Data[Order_Date],"MMM")</f>
        <v>Nov</v>
      </c>
    </row>
    <row r="365" spans="1:11" x14ac:dyDescent="0.3">
      <c r="A365" t="s">
        <v>632</v>
      </c>
      <c r="B365" t="s">
        <v>633</v>
      </c>
      <c r="C365" t="s">
        <v>11</v>
      </c>
      <c r="D365" t="s">
        <v>12</v>
      </c>
      <c r="E365" t="s">
        <v>57</v>
      </c>
      <c r="F365" s="1">
        <v>23521.14</v>
      </c>
      <c r="G365">
        <v>2</v>
      </c>
      <c r="H365" s="1">
        <v>5206.55</v>
      </c>
      <c r="I365" t="s">
        <v>14</v>
      </c>
      <c r="J365">
        <f>YEAR(Retail_Data[Order_Date])</f>
        <v>2024</v>
      </c>
      <c r="K365" t="str">
        <f>TEXT(Retail_Data[Order_Date],"MMM")</f>
        <v>Aug</v>
      </c>
    </row>
    <row r="366" spans="1:11" x14ac:dyDescent="0.3">
      <c r="A366" t="s">
        <v>634</v>
      </c>
      <c r="B366" t="s">
        <v>448</v>
      </c>
      <c r="C366" t="s">
        <v>141</v>
      </c>
      <c r="D366" t="s">
        <v>39</v>
      </c>
      <c r="E366" t="s">
        <v>57</v>
      </c>
      <c r="F366" s="1">
        <v>14364.33</v>
      </c>
      <c r="G366">
        <v>8</v>
      </c>
      <c r="H366" s="1">
        <v>2986.74</v>
      </c>
      <c r="I366" t="s">
        <v>35</v>
      </c>
      <c r="J366">
        <f>YEAR(Retail_Data[Order_Date])</f>
        <v>2024</v>
      </c>
      <c r="K366" t="str">
        <f>TEXT(Retail_Data[Order_Date],"MMM")</f>
        <v>Sep</v>
      </c>
    </row>
    <row r="367" spans="1:11" x14ac:dyDescent="0.3">
      <c r="A367" t="s">
        <v>635</v>
      </c>
      <c r="B367" t="s">
        <v>138</v>
      </c>
      <c r="C367" t="s">
        <v>44</v>
      </c>
      <c r="D367" t="s">
        <v>39</v>
      </c>
      <c r="E367" t="s">
        <v>13</v>
      </c>
      <c r="F367" s="1">
        <v>25587.040000000001</v>
      </c>
      <c r="G367">
        <v>9</v>
      </c>
      <c r="H367" s="1">
        <v>4694.16</v>
      </c>
      <c r="I367" t="s">
        <v>35</v>
      </c>
      <c r="J367">
        <f>YEAR(Retail_Data[Order_Date])</f>
        <v>2024</v>
      </c>
      <c r="K367" t="str">
        <f>TEXT(Retail_Data[Order_Date],"MMM")</f>
        <v>Mar</v>
      </c>
    </row>
    <row r="368" spans="1:11" x14ac:dyDescent="0.3">
      <c r="A368" t="s">
        <v>636</v>
      </c>
      <c r="B368" t="s">
        <v>241</v>
      </c>
      <c r="C368" t="s">
        <v>33</v>
      </c>
      <c r="D368" t="s">
        <v>34</v>
      </c>
      <c r="E368" t="s">
        <v>13</v>
      </c>
      <c r="F368" s="1">
        <v>31083.3</v>
      </c>
      <c r="G368">
        <v>2</v>
      </c>
      <c r="H368" s="1">
        <v>5926.23</v>
      </c>
      <c r="I368" t="s">
        <v>23</v>
      </c>
      <c r="J368">
        <f>YEAR(Retail_Data[Order_Date])</f>
        <v>2024</v>
      </c>
      <c r="K368" t="str">
        <f>TEXT(Retail_Data[Order_Date],"MMM")</f>
        <v>Aug</v>
      </c>
    </row>
    <row r="369" spans="1:11" x14ac:dyDescent="0.3">
      <c r="A369" t="s">
        <v>637</v>
      </c>
      <c r="B369" t="s">
        <v>278</v>
      </c>
      <c r="C369" t="s">
        <v>109</v>
      </c>
      <c r="D369" t="s">
        <v>34</v>
      </c>
      <c r="E369" t="s">
        <v>13</v>
      </c>
      <c r="F369" s="1">
        <v>3830.47</v>
      </c>
      <c r="G369">
        <v>9</v>
      </c>
      <c r="H369" s="1">
        <v>244.28</v>
      </c>
      <c r="I369" t="s">
        <v>35</v>
      </c>
      <c r="J369">
        <f>YEAR(Retail_Data[Order_Date])</f>
        <v>2024</v>
      </c>
      <c r="K369" t="str">
        <f>TEXT(Retail_Data[Order_Date],"MMM")</f>
        <v>Feb</v>
      </c>
    </row>
    <row r="370" spans="1:11" x14ac:dyDescent="0.3">
      <c r="A370" t="s">
        <v>638</v>
      </c>
      <c r="B370" t="s">
        <v>158</v>
      </c>
      <c r="C370" t="s">
        <v>17</v>
      </c>
      <c r="D370" t="s">
        <v>18</v>
      </c>
      <c r="E370" t="s">
        <v>27</v>
      </c>
      <c r="F370" s="1">
        <v>33040.21</v>
      </c>
      <c r="G370">
        <v>10</v>
      </c>
      <c r="H370" s="1">
        <v>2923.47</v>
      </c>
      <c r="I370" t="s">
        <v>14</v>
      </c>
      <c r="J370">
        <f>YEAR(Retail_Data[Order_Date])</f>
        <v>2024</v>
      </c>
      <c r="K370" t="str">
        <f>TEXT(Retail_Data[Order_Date],"MMM")</f>
        <v>Jul</v>
      </c>
    </row>
    <row r="371" spans="1:11" x14ac:dyDescent="0.3">
      <c r="A371" t="s">
        <v>639</v>
      </c>
      <c r="B371" t="s">
        <v>336</v>
      </c>
      <c r="C371" t="s">
        <v>62</v>
      </c>
      <c r="D371" t="s">
        <v>34</v>
      </c>
      <c r="E371" t="s">
        <v>22</v>
      </c>
      <c r="F371" s="1">
        <v>19350.66</v>
      </c>
      <c r="G371">
        <v>9</v>
      </c>
      <c r="H371" s="1">
        <v>3289.21</v>
      </c>
      <c r="I371" t="s">
        <v>35</v>
      </c>
      <c r="J371">
        <f>YEAR(Retail_Data[Order_Date])</f>
        <v>2024</v>
      </c>
      <c r="K371" t="str">
        <f>TEXT(Retail_Data[Order_Date],"MMM")</f>
        <v>May</v>
      </c>
    </row>
    <row r="372" spans="1:11" x14ac:dyDescent="0.3">
      <c r="A372" t="s">
        <v>640</v>
      </c>
      <c r="B372" t="s">
        <v>641</v>
      </c>
      <c r="C372" t="s">
        <v>69</v>
      </c>
      <c r="D372" t="s">
        <v>34</v>
      </c>
      <c r="E372" t="s">
        <v>27</v>
      </c>
      <c r="F372" s="1">
        <v>35334.99</v>
      </c>
      <c r="G372">
        <v>7</v>
      </c>
      <c r="H372" s="1">
        <v>5139.24</v>
      </c>
      <c r="I372" t="s">
        <v>23</v>
      </c>
      <c r="J372">
        <f>YEAR(Retail_Data[Order_Date])</f>
        <v>2024</v>
      </c>
      <c r="K372" t="str">
        <f>TEXT(Retail_Data[Order_Date],"MMM")</f>
        <v>May</v>
      </c>
    </row>
    <row r="373" spans="1:11" x14ac:dyDescent="0.3">
      <c r="A373" t="s">
        <v>642</v>
      </c>
      <c r="B373" t="s">
        <v>415</v>
      </c>
      <c r="C373" t="s">
        <v>17</v>
      </c>
      <c r="D373" t="s">
        <v>18</v>
      </c>
      <c r="E373" t="s">
        <v>22</v>
      </c>
      <c r="F373" s="1">
        <v>47317.73</v>
      </c>
      <c r="G373">
        <v>6</v>
      </c>
      <c r="H373" s="1">
        <v>4137.5</v>
      </c>
      <c r="I373" t="s">
        <v>14</v>
      </c>
      <c r="J373">
        <f>YEAR(Retail_Data[Order_Date])</f>
        <v>2024</v>
      </c>
      <c r="K373" t="str">
        <f>TEXT(Retail_Data[Order_Date],"MMM")</f>
        <v>Mar</v>
      </c>
    </row>
    <row r="374" spans="1:11" x14ac:dyDescent="0.3">
      <c r="A374" t="s">
        <v>643</v>
      </c>
      <c r="B374" t="s">
        <v>619</v>
      </c>
      <c r="C374" t="s">
        <v>141</v>
      </c>
      <c r="D374" t="s">
        <v>39</v>
      </c>
      <c r="E374" t="s">
        <v>13</v>
      </c>
      <c r="F374" s="1">
        <v>39699.1</v>
      </c>
      <c r="G374">
        <v>9</v>
      </c>
      <c r="H374" s="1">
        <v>6103.04</v>
      </c>
      <c r="I374" t="s">
        <v>23</v>
      </c>
      <c r="J374">
        <f>YEAR(Retail_Data[Order_Date])</f>
        <v>2024</v>
      </c>
      <c r="K374" t="str">
        <f>TEXT(Retail_Data[Order_Date],"MMM")</f>
        <v>Feb</v>
      </c>
    </row>
    <row r="375" spans="1:11" x14ac:dyDescent="0.3">
      <c r="A375" t="s">
        <v>644</v>
      </c>
      <c r="B375" t="s">
        <v>645</v>
      </c>
      <c r="C375" t="s">
        <v>54</v>
      </c>
      <c r="D375" t="s">
        <v>18</v>
      </c>
      <c r="E375" t="s">
        <v>27</v>
      </c>
      <c r="F375" s="1">
        <v>24139.37</v>
      </c>
      <c r="G375">
        <v>3</v>
      </c>
      <c r="H375" s="1">
        <v>1917.07</v>
      </c>
      <c r="I375" t="s">
        <v>35</v>
      </c>
      <c r="J375">
        <f>YEAR(Retail_Data[Order_Date])</f>
        <v>2024</v>
      </c>
      <c r="K375" t="str">
        <f>TEXT(Retail_Data[Order_Date],"MMM")</f>
        <v>May</v>
      </c>
    </row>
    <row r="376" spans="1:11" x14ac:dyDescent="0.3">
      <c r="A376" t="s">
        <v>646</v>
      </c>
      <c r="B376" t="s">
        <v>418</v>
      </c>
      <c r="C376" t="s">
        <v>49</v>
      </c>
      <c r="D376" t="s">
        <v>12</v>
      </c>
      <c r="E376" t="s">
        <v>13</v>
      </c>
      <c r="F376" s="1">
        <v>16924.97</v>
      </c>
      <c r="G376">
        <v>10</v>
      </c>
      <c r="H376" s="1">
        <v>878.08</v>
      </c>
      <c r="I376" t="s">
        <v>35</v>
      </c>
      <c r="J376">
        <f>YEAR(Retail_Data[Order_Date])</f>
        <v>2024</v>
      </c>
      <c r="K376" t="str">
        <f>TEXT(Retail_Data[Order_Date],"MMM")</f>
        <v>Mar</v>
      </c>
    </row>
    <row r="377" spans="1:11" x14ac:dyDescent="0.3">
      <c r="A377" t="s">
        <v>647</v>
      </c>
      <c r="B377" t="s">
        <v>138</v>
      </c>
      <c r="C377" t="s">
        <v>38</v>
      </c>
      <c r="D377" t="s">
        <v>39</v>
      </c>
      <c r="E377" t="s">
        <v>22</v>
      </c>
      <c r="F377" s="1">
        <v>21426.54</v>
      </c>
      <c r="G377">
        <v>1</v>
      </c>
      <c r="H377" s="1">
        <v>3958.3</v>
      </c>
      <c r="I377" t="s">
        <v>35</v>
      </c>
      <c r="J377">
        <f>YEAR(Retail_Data[Order_Date])</f>
        <v>2024</v>
      </c>
      <c r="K377" t="str">
        <f>TEXT(Retail_Data[Order_Date],"MMM")</f>
        <v>Mar</v>
      </c>
    </row>
    <row r="378" spans="1:11" x14ac:dyDescent="0.3">
      <c r="A378" t="s">
        <v>648</v>
      </c>
      <c r="B378" t="s">
        <v>364</v>
      </c>
      <c r="C378" t="s">
        <v>74</v>
      </c>
      <c r="D378" t="s">
        <v>18</v>
      </c>
      <c r="E378" t="s">
        <v>27</v>
      </c>
      <c r="F378" s="1">
        <v>15851.24</v>
      </c>
      <c r="G378">
        <v>6</v>
      </c>
      <c r="H378" s="1">
        <v>2629.86</v>
      </c>
      <c r="I378" t="s">
        <v>35</v>
      </c>
      <c r="J378">
        <f>YEAR(Retail_Data[Order_Date])</f>
        <v>2024</v>
      </c>
      <c r="K378" t="str">
        <f>TEXT(Retail_Data[Order_Date],"MMM")</f>
        <v>Apr</v>
      </c>
    </row>
    <row r="379" spans="1:11" x14ac:dyDescent="0.3">
      <c r="A379" t="s">
        <v>649</v>
      </c>
      <c r="B379" t="s">
        <v>125</v>
      </c>
      <c r="C379" t="s">
        <v>26</v>
      </c>
      <c r="D379" t="s">
        <v>12</v>
      </c>
      <c r="E379" t="s">
        <v>22</v>
      </c>
      <c r="F379" s="1">
        <v>43383.37</v>
      </c>
      <c r="G379">
        <v>9</v>
      </c>
      <c r="H379" s="1">
        <v>2214.0700000000002</v>
      </c>
      <c r="I379" t="s">
        <v>14</v>
      </c>
      <c r="J379">
        <f>YEAR(Retail_Data[Order_Date])</f>
        <v>2024</v>
      </c>
      <c r="K379" t="str">
        <f>TEXT(Retail_Data[Order_Date],"MMM")</f>
        <v>Nov</v>
      </c>
    </row>
    <row r="380" spans="1:11" x14ac:dyDescent="0.3">
      <c r="A380" t="s">
        <v>650</v>
      </c>
      <c r="B380" t="s">
        <v>651</v>
      </c>
      <c r="C380" t="s">
        <v>26</v>
      </c>
      <c r="D380" t="s">
        <v>12</v>
      </c>
      <c r="E380" t="s">
        <v>57</v>
      </c>
      <c r="F380" s="1">
        <v>17020.71</v>
      </c>
      <c r="G380">
        <v>4</v>
      </c>
      <c r="H380" s="1">
        <v>1447.85</v>
      </c>
      <c r="I380" t="s">
        <v>14</v>
      </c>
      <c r="J380">
        <f>YEAR(Retail_Data[Order_Date])</f>
        <v>2024</v>
      </c>
      <c r="K380" t="str">
        <f>TEXT(Retail_Data[Order_Date],"MMM")</f>
        <v>May</v>
      </c>
    </row>
    <row r="381" spans="1:11" x14ac:dyDescent="0.3">
      <c r="A381" t="s">
        <v>652</v>
      </c>
      <c r="B381" t="s">
        <v>451</v>
      </c>
      <c r="C381" t="s">
        <v>26</v>
      </c>
      <c r="D381" t="s">
        <v>12</v>
      </c>
      <c r="E381" t="s">
        <v>22</v>
      </c>
      <c r="F381" s="1">
        <v>31355.99</v>
      </c>
      <c r="G381">
        <v>6</v>
      </c>
      <c r="H381" s="1">
        <v>2803.93</v>
      </c>
      <c r="I381" t="s">
        <v>35</v>
      </c>
      <c r="J381">
        <f>YEAR(Retail_Data[Order_Date])</f>
        <v>2024</v>
      </c>
      <c r="K381" t="str">
        <f>TEXT(Retail_Data[Order_Date],"MMM")</f>
        <v>Jul</v>
      </c>
    </row>
    <row r="382" spans="1:11" x14ac:dyDescent="0.3">
      <c r="A382" t="s">
        <v>653</v>
      </c>
      <c r="B382" t="s">
        <v>366</v>
      </c>
      <c r="C382" t="s">
        <v>54</v>
      </c>
      <c r="D382" t="s">
        <v>18</v>
      </c>
      <c r="E382" t="s">
        <v>13</v>
      </c>
      <c r="F382" s="1">
        <v>5839.43</v>
      </c>
      <c r="G382">
        <v>4</v>
      </c>
      <c r="H382" s="1">
        <v>699.26</v>
      </c>
      <c r="I382" t="s">
        <v>35</v>
      </c>
      <c r="J382">
        <f>YEAR(Retail_Data[Order_Date])</f>
        <v>2024</v>
      </c>
      <c r="K382" t="str">
        <f>TEXT(Retail_Data[Order_Date],"MMM")</f>
        <v>Sep</v>
      </c>
    </row>
    <row r="383" spans="1:11" x14ac:dyDescent="0.3">
      <c r="A383" t="s">
        <v>654</v>
      </c>
      <c r="B383" t="s">
        <v>562</v>
      </c>
      <c r="C383" t="s">
        <v>21</v>
      </c>
      <c r="D383" t="s">
        <v>18</v>
      </c>
      <c r="E383" t="s">
        <v>13</v>
      </c>
      <c r="F383" s="1">
        <v>28140.79</v>
      </c>
      <c r="G383">
        <v>8</v>
      </c>
      <c r="H383" s="1">
        <v>6598.06</v>
      </c>
      <c r="I383" t="s">
        <v>14</v>
      </c>
      <c r="J383">
        <f>YEAR(Retail_Data[Order_Date])</f>
        <v>2024</v>
      </c>
      <c r="K383" t="str">
        <f>TEXT(Retail_Data[Order_Date],"MMM")</f>
        <v>Nov</v>
      </c>
    </row>
    <row r="384" spans="1:11" x14ac:dyDescent="0.3">
      <c r="A384" t="s">
        <v>655</v>
      </c>
      <c r="B384" t="s">
        <v>56</v>
      </c>
      <c r="C384" t="s">
        <v>11</v>
      </c>
      <c r="D384" t="s">
        <v>12</v>
      </c>
      <c r="E384" t="s">
        <v>13</v>
      </c>
      <c r="F384" s="1">
        <v>26732.080000000002</v>
      </c>
      <c r="G384">
        <v>8</v>
      </c>
      <c r="H384" s="1">
        <v>2456.2600000000002</v>
      </c>
      <c r="I384" t="s">
        <v>35</v>
      </c>
      <c r="J384">
        <f>YEAR(Retail_Data[Order_Date])</f>
        <v>2024</v>
      </c>
      <c r="K384" t="str">
        <f>TEXT(Retail_Data[Order_Date],"MMM")</f>
        <v>Nov</v>
      </c>
    </row>
    <row r="385" spans="1:11" x14ac:dyDescent="0.3">
      <c r="A385" t="s">
        <v>656</v>
      </c>
      <c r="B385" t="s">
        <v>657</v>
      </c>
      <c r="C385" t="s">
        <v>44</v>
      </c>
      <c r="D385" t="s">
        <v>39</v>
      </c>
      <c r="E385" t="s">
        <v>27</v>
      </c>
      <c r="F385" s="1">
        <v>7233.49</v>
      </c>
      <c r="G385">
        <v>3</v>
      </c>
      <c r="H385" s="1">
        <v>1355.07</v>
      </c>
      <c r="I385" t="s">
        <v>14</v>
      </c>
      <c r="J385">
        <f>YEAR(Retail_Data[Order_Date])</f>
        <v>2024</v>
      </c>
      <c r="K385" t="str">
        <f>TEXT(Retail_Data[Order_Date],"MMM")</f>
        <v>Aug</v>
      </c>
    </row>
    <row r="386" spans="1:11" x14ac:dyDescent="0.3">
      <c r="A386" t="s">
        <v>658</v>
      </c>
      <c r="B386" t="s">
        <v>249</v>
      </c>
      <c r="C386" t="s">
        <v>54</v>
      </c>
      <c r="D386" t="s">
        <v>18</v>
      </c>
      <c r="E386" t="s">
        <v>27</v>
      </c>
      <c r="F386" s="1">
        <v>4148.45</v>
      </c>
      <c r="G386">
        <v>10</v>
      </c>
      <c r="H386" s="1">
        <v>383.48</v>
      </c>
      <c r="I386" t="s">
        <v>35</v>
      </c>
      <c r="J386">
        <f>YEAR(Retail_Data[Order_Date])</f>
        <v>2024</v>
      </c>
      <c r="K386" t="str">
        <f>TEXT(Retail_Data[Order_Date],"MMM")</f>
        <v>May</v>
      </c>
    </row>
    <row r="387" spans="1:11" x14ac:dyDescent="0.3">
      <c r="A387" t="s">
        <v>659</v>
      </c>
      <c r="B387" t="s">
        <v>123</v>
      </c>
      <c r="C387" t="s">
        <v>11</v>
      </c>
      <c r="D387" t="s">
        <v>12</v>
      </c>
      <c r="E387" t="s">
        <v>13</v>
      </c>
      <c r="F387" s="1">
        <v>1832.74</v>
      </c>
      <c r="G387">
        <v>8</v>
      </c>
      <c r="H387" s="1">
        <v>96.66</v>
      </c>
      <c r="I387" t="s">
        <v>35</v>
      </c>
      <c r="J387">
        <f>YEAR(Retail_Data[Order_Date])</f>
        <v>2024</v>
      </c>
      <c r="K387" t="str">
        <f>TEXT(Retail_Data[Order_Date],"MMM")</f>
        <v>Jul</v>
      </c>
    </row>
    <row r="388" spans="1:11" x14ac:dyDescent="0.3">
      <c r="A388" t="s">
        <v>660</v>
      </c>
      <c r="B388" t="s">
        <v>448</v>
      </c>
      <c r="C388" t="s">
        <v>93</v>
      </c>
      <c r="D388" t="s">
        <v>39</v>
      </c>
      <c r="E388" t="s">
        <v>13</v>
      </c>
      <c r="F388" s="1">
        <v>23186.46</v>
      </c>
      <c r="G388">
        <v>4</v>
      </c>
      <c r="H388" s="1">
        <v>3089.58</v>
      </c>
      <c r="I388" t="s">
        <v>23</v>
      </c>
      <c r="J388">
        <f>YEAR(Retail_Data[Order_Date])</f>
        <v>2024</v>
      </c>
      <c r="K388" t="str">
        <f>TEXT(Retail_Data[Order_Date],"MMM")</f>
        <v>Sep</v>
      </c>
    </row>
    <row r="389" spans="1:11" x14ac:dyDescent="0.3">
      <c r="A389" t="s">
        <v>661</v>
      </c>
      <c r="B389" t="s">
        <v>29</v>
      </c>
      <c r="C389" t="s">
        <v>21</v>
      </c>
      <c r="D389" t="s">
        <v>18</v>
      </c>
      <c r="E389" t="s">
        <v>13</v>
      </c>
      <c r="F389" s="1">
        <v>1590.07</v>
      </c>
      <c r="G389">
        <v>1</v>
      </c>
      <c r="H389" s="1">
        <v>363.74</v>
      </c>
      <c r="I389" t="s">
        <v>14</v>
      </c>
      <c r="J389">
        <f>YEAR(Retail_Data[Order_Date])</f>
        <v>2024</v>
      </c>
      <c r="K389" t="str">
        <f>TEXT(Retail_Data[Order_Date],"MMM")</f>
        <v>Mar</v>
      </c>
    </row>
    <row r="390" spans="1:11" x14ac:dyDescent="0.3">
      <c r="A390" t="s">
        <v>662</v>
      </c>
      <c r="B390" t="s">
        <v>41</v>
      </c>
      <c r="C390" t="s">
        <v>38</v>
      </c>
      <c r="D390" t="s">
        <v>39</v>
      </c>
      <c r="E390" t="s">
        <v>57</v>
      </c>
      <c r="F390" s="1">
        <v>39326.839999999997</v>
      </c>
      <c r="G390">
        <v>2</v>
      </c>
      <c r="H390" s="1">
        <v>5692.56</v>
      </c>
      <c r="I390" t="s">
        <v>23</v>
      </c>
      <c r="J390">
        <f>YEAR(Retail_Data[Order_Date])</f>
        <v>2024</v>
      </c>
      <c r="K390" t="str">
        <f>TEXT(Retail_Data[Order_Date],"MMM")</f>
        <v>Jul</v>
      </c>
    </row>
    <row r="391" spans="1:11" x14ac:dyDescent="0.3">
      <c r="A391" t="s">
        <v>663</v>
      </c>
      <c r="B391" t="s">
        <v>551</v>
      </c>
      <c r="C391" t="s">
        <v>141</v>
      </c>
      <c r="D391" t="s">
        <v>39</v>
      </c>
      <c r="E391" t="s">
        <v>13</v>
      </c>
      <c r="F391" s="1">
        <v>4950.09</v>
      </c>
      <c r="G391">
        <v>1</v>
      </c>
      <c r="H391" s="1">
        <v>335.72</v>
      </c>
      <c r="I391" t="s">
        <v>35</v>
      </c>
      <c r="J391">
        <f>YEAR(Retail_Data[Order_Date])</f>
        <v>2024</v>
      </c>
      <c r="K391" t="str">
        <f>TEXT(Retail_Data[Order_Date],"MMM")</f>
        <v>Feb</v>
      </c>
    </row>
    <row r="392" spans="1:11" x14ac:dyDescent="0.3">
      <c r="A392" t="s">
        <v>664</v>
      </c>
      <c r="B392" t="s">
        <v>113</v>
      </c>
      <c r="C392" t="s">
        <v>109</v>
      </c>
      <c r="D392" t="s">
        <v>34</v>
      </c>
      <c r="E392" t="s">
        <v>22</v>
      </c>
      <c r="F392" s="1">
        <v>23765.21</v>
      </c>
      <c r="G392">
        <v>1</v>
      </c>
      <c r="H392" s="1">
        <v>4633.1899999999996</v>
      </c>
      <c r="I392" t="s">
        <v>14</v>
      </c>
      <c r="J392">
        <f>YEAR(Retail_Data[Order_Date])</f>
        <v>2024</v>
      </c>
      <c r="K392" t="str">
        <f>TEXT(Retail_Data[Order_Date],"MMM")</f>
        <v>Jan</v>
      </c>
    </row>
    <row r="393" spans="1:11" x14ac:dyDescent="0.3">
      <c r="A393" t="s">
        <v>665</v>
      </c>
      <c r="B393" t="s">
        <v>666</v>
      </c>
      <c r="C393" t="s">
        <v>11</v>
      </c>
      <c r="D393" t="s">
        <v>12</v>
      </c>
      <c r="E393" t="s">
        <v>27</v>
      </c>
      <c r="F393" s="1">
        <v>20262.080000000002</v>
      </c>
      <c r="G393">
        <v>7</v>
      </c>
      <c r="H393" s="1">
        <v>4510.71</v>
      </c>
      <c r="I393" t="s">
        <v>35</v>
      </c>
      <c r="J393">
        <f>YEAR(Retail_Data[Order_Date])</f>
        <v>2024</v>
      </c>
      <c r="K393" t="str">
        <f>TEXT(Retail_Data[Order_Date],"MMM")</f>
        <v>Oct</v>
      </c>
    </row>
    <row r="394" spans="1:11" x14ac:dyDescent="0.3">
      <c r="A394" t="s">
        <v>667</v>
      </c>
      <c r="B394" t="s">
        <v>380</v>
      </c>
      <c r="C394" t="s">
        <v>141</v>
      </c>
      <c r="D394" t="s">
        <v>39</v>
      </c>
      <c r="E394" t="s">
        <v>27</v>
      </c>
      <c r="F394" s="1">
        <v>40400.339999999997</v>
      </c>
      <c r="G394">
        <v>1</v>
      </c>
      <c r="H394" s="1">
        <v>7007.72</v>
      </c>
      <c r="I394" t="s">
        <v>23</v>
      </c>
      <c r="J394">
        <f>YEAR(Retail_Data[Order_Date])</f>
        <v>2024</v>
      </c>
      <c r="K394" t="str">
        <f>TEXT(Retail_Data[Order_Date],"MMM")</f>
        <v>Jul</v>
      </c>
    </row>
    <row r="395" spans="1:11" x14ac:dyDescent="0.3">
      <c r="A395" t="s">
        <v>668</v>
      </c>
      <c r="B395" t="s">
        <v>669</v>
      </c>
      <c r="C395" t="s">
        <v>44</v>
      </c>
      <c r="D395" t="s">
        <v>39</v>
      </c>
      <c r="E395" t="s">
        <v>57</v>
      </c>
      <c r="F395" s="1">
        <v>45955.97</v>
      </c>
      <c r="G395">
        <v>7</v>
      </c>
      <c r="H395" s="1">
        <v>8695.5400000000009</v>
      </c>
      <c r="I395" t="s">
        <v>23</v>
      </c>
      <c r="J395">
        <f>YEAR(Retail_Data[Order_Date])</f>
        <v>2024</v>
      </c>
      <c r="K395" t="str">
        <f>TEXT(Retail_Data[Order_Date],"MMM")</f>
        <v>Nov</v>
      </c>
    </row>
    <row r="396" spans="1:11" x14ac:dyDescent="0.3">
      <c r="A396" t="s">
        <v>670</v>
      </c>
      <c r="B396" t="s">
        <v>188</v>
      </c>
      <c r="C396" t="s">
        <v>74</v>
      </c>
      <c r="D396" t="s">
        <v>18</v>
      </c>
      <c r="E396" t="s">
        <v>13</v>
      </c>
      <c r="F396" s="1">
        <v>38520.07</v>
      </c>
      <c r="G396">
        <v>4</v>
      </c>
      <c r="H396" s="1">
        <v>3292.4</v>
      </c>
      <c r="I396" t="s">
        <v>35</v>
      </c>
      <c r="J396">
        <f>YEAR(Retail_Data[Order_Date])</f>
        <v>2024</v>
      </c>
      <c r="K396" t="str">
        <f>TEXT(Retail_Data[Order_Date],"MMM")</f>
        <v>Mar</v>
      </c>
    </row>
    <row r="397" spans="1:11" x14ac:dyDescent="0.3">
      <c r="A397" t="s">
        <v>671</v>
      </c>
      <c r="B397" t="s">
        <v>672</v>
      </c>
      <c r="C397" t="s">
        <v>17</v>
      </c>
      <c r="D397" t="s">
        <v>18</v>
      </c>
      <c r="E397" t="s">
        <v>22</v>
      </c>
      <c r="F397" s="1">
        <v>48375.58</v>
      </c>
      <c r="G397">
        <v>10</v>
      </c>
      <c r="H397" s="1">
        <v>11218.35</v>
      </c>
      <c r="I397" t="s">
        <v>23</v>
      </c>
      <c r="J397">
        <f>YEAR(Retail_Data[Order_Date])</f>
        <v>2024</v>
      </c>
      <c r="K397" t="str">
        <f>TEXT(Retail_Data[Order_Date],"MMM")</f>
        <v>Apr</v>
      </c>
    </row>
    <row r="398" spans="1:11" x14ac:dyDescent="0.3">
      <c r="A398" t="s">
        <v>673</v>
      </c>
      <c r="B398" t="s">
        <v>104</v>
      </c>
      <c r="C398" t="s">
        <v>44</v>
      </c>
      <c r="D398" t="s">
        <v>39</v>
      </c>
      <c r="E398" t="s">
        <v>27</v>
      </c>
      <c r="F398" s="1">
        <v>49920.21</v>
      </c>
      <c r="G398">
        <v>2</v>
      </c>
      <c r="H398" s="1">
        <v>8017.85</v>
      </c>
      <c r="I398" t="s">
        <v>23</v>
      </c>
      <c r="J398">
        <f>YEAR(Retail_Data[Order_Date])</f>
        <v>2024</v>
      </c>
      <c r="K398" t="str">
        <f>TEXT(Retail_Data[Order_Date],"MMM")</f>
        <v>Dec</v>
      </c>
    </row>
    <row r="399" spans="1:11" x14ac:dyDescent="0.3">
      <c r="A399" t="s">
        <v>674</v>
      </c>
      <c r="B399" t="s">
        <v>408</v>
      </c>
      <c r="C399" t="s">
        <v>33</v>
      </c>
      <c r="D399" t="s">
        <v>34</v>
      </c>
      <c r="E399" t="s">
        <v>13</v>
      </c>
      <c r="F399" s="1">
        <v>28666.99</v>
      </c>
      <c r="G399">
        <v>7</v>
      </c>
      <c r="H399" s="1">
        <v>5809.88</v>
      </c>
      <c r="I399" t="s">
        <v>35</v>
      </c>
      <c r="J399">
        <f>YEAR(Retail_Data[Order_Date])</f>
        <v>2024</v>
      </c>
      <c r="K399" t="str">
        <f>TEXT(Retail_Data[Order_Date],"MMM")</f>
        <v>Nov</v>
      </c>
    </row>
    <row r="400" spans="1:11" x14ac:dyDescent="0.3">
      <c r="A400" t="s">
        <v>675</v>
      </c>
      <c r="B400" t="s">
        <v>585</v>
      </c>
      <c r="C400" t="s">
        <v>21</v>
      </c>
      <c r="D400" t="s">
        <v>18</v>
      </c>
      <c r="E400" t="s">
        <v>27</v>
      </c>
      <c r="F400" s="1">
        <v>11490.58</v>
      </c>
      <c r="G400">
        <v>5</v>
      </c>
      <c r="H400" s="1">
        <v>783.59</v>
      </c>
      <c r="I400" t="s">
        <v>14</v>
      </c>
      <c r="J400">
        <f>YEAR(Retail_Data[Order_Date])</f>
        <v>2024</v>
      </c>
      <c r="K400" t="str">
        <f>TEXT(Retail_Data[Order_Date],"MMM")</f>
        <v>Nov</v>
      </c>
    </row>
    <row r="401" spans="1:11" x14ac:dyDescent="0.3">
      <c r="A401" t="s">
        <v>676</v>
      </c>
      <c r="B401" t="s">
        <v>391</v>
      </c>
      <c r="C401" t="s">
        <v>109</v>
      </c>
      <c r="D401" t="s">
        <v>34</v>
      </c>
      <c r="E401" t="s">
        <v>27</v>
      </c>
      <c r="F401" s="1">
        <v>35810.03</v>
      </c>
      <c r="G401">
        <v>4</v>
      </c>
      <c r="H401" s="1">
        <v>7151.75</v>
      </c>
      <c r="I401" t="s">
        <v>23</v>
      </c>
      <c r="J401">
        <f>YEAR(Retail_Data[Order_Date])</f>
        <v>2024</v>
      </c>
      <c r="K401" t="str">
        <f>TEXT(Retail_Data[Order_Date],"MMM")</f>
        <v>Dec</v>
      </c>
    </row>
    <row r="402" spans="1:11" x14ac:dyDescent="0.3">
      <c r="A402" t="s">
        <v>677</v>
      </c>
      <c r="B402" t="s">
        <v>678</v>
      </c>
      <c r="C402" t="s">
        <v>109</v>
      </c>
      <c r="D402" t="s">
        <v>34</v>
      </c>
      <c r="E402" t="s">
        <v>13</v>
      </c>
      <c r="F402" s="1">
        <v>41303.74</v>
      </c>
      <c r="G402">
        <v>4</v>
      </c>
      <c r="H402" s="1">
        <v>6222.88</v>
      </c>
      <c r="I402" t="s">
        <v>23</v>
      </c>
      <c r="J402">
        <f>YEAR(Retail_Data[Order_Date])</f>
        <v>2024</v>
      </c>
      <c r="K402" t="str">
        <f>TEXT(Retail_Data[Order_Date],"MMM")</f>
        <v>Jun</v>
      </c>
    </row>
    <row r="403" spans="1:11" x14ac:dyDescent="0.3">
      <c r="A403" t="s">
        <v>679</v>
      </c>
      <c r="B403" t="s">
        <v>284</v>
      </c>
      <c r="C403" t="s">
        <v>38</v>
      </c>
      <c r="D403" t="s">
        <v>39</v>
      </c>
      <c r="E403" t="s">
        <v>27</v>
      </c>
      <c r="F403" s="1">
        <v>44162.41</v>
      </c>
      <c r="G403">
        <v>8</v>
      </c>
      <c r="H403" s="1">
        <v>8492.02</v>
      </c>
      <c r="I403" t="s">
        <v>14</v>
      </c>
      <c r="J403">
        <f>YEAR(Retail_Data[Order_Date])</f>
        <v>2024</v>
      </c>
      <c r="K403" t="str">
        <f>TEXT(Retail_Data[Order_Date],"MMM")</f>
        <v>Dec</v>
      </c>
    </row>
    <row r="404" spans="1:11" x14ac:dyDescent="0.3">
      <c r="A404" t="s">
        <v>680</v>
      </c>
      <c r="B404" t="s">
        <v>156</v>
      </c>
      <c r="C404" t="s">
        <v>30</v>
      </c>
      <c r="D404" t="s">
        <v>12</v>
      </c>
      <c r="E404" t="s">
        <v>57</v>
      </c>
      <c r="F404" s="1">
        <v>9639.0400000000009</v>
      </c>
      <c r="G404">
        <v>3</v>
      </c>
      <c r="H404" s="1">
        <v>2387.31</v>
      </c>
      <c r="I404" t="s">
        <v>14</v>
      </c>
      <c r="J404">
        <f>YEAR(Retail_Data[Order_Date])</f>
        <v>2024</v>
      </c>
      <c r="K404" t="str">
        <f>TEXT(Retail_Data[Order_Date],"MMM")</f>
        <v>Aug</v>
      </c>
    </row>
    <row r="405" spans="1:11" x14ac:dyDescent="0.3">
      <c r="A405" t="s">
        <v>681</v>
      </c>
      <c r="B405" t="s">
        <v>682</v>
      </c>
      <c r="C405" t="s">
        <v>93</v>
      </c>
      <c r="D405" t="s">
        <v>39</v>
      </c>
      <c r="E405" t="s">
        <v>22</v>
      </c>
      <c r="F405" s="1">
        <v>37910.89</v>
      </c>
      <c r="G405">
        <v>6</v>
      </c>
      <c r="H405" s="1">
        <v>4786.91</v>
      </c>
      <c r="I405" t="s">
        <v>14</v>
      </c>
      <c r="J405">
        <f>YEAR(Retail_Data[Order_Date])</f>
        <v>2024</v>
      </c>
      <c r="K405" t="str">
        <f>TEXT(Retail_Data[Order_Date],"MMM")</f>
        <v>Mar</v>
      </c>
    </row>
    <row r="406" spans="1:11" x14ac:dyDescent="0.3">
      <c r="A406" t="s">
        <v>683</v>
      </c>
      <c r="B406" t="s">
        <v>684</v>
      </c>
      <c r="C406" t="s">
        <v>54</v>
      </c>
      <c r="D406" t="s">
        <v>18</v>
      </c>
      <c r="E406" t="s">
        <v>22</v>
      </c>
      <c r="F406" s="1">
        <v>14255.05</v>
      </c>
      <c r="G406">
        <v>10</v>
      </c>
      <c r="H406" s="1">
        <v>2480.98</v>
      </c>
      <c r="I406" t="s">
        <v>35</v>
      </c>
      <c r="J406">
        <f>YEAR(Retail_Data[Order_Date])</f>
        <v>2024</v>
      </c>
      <c r="K406" t="str">
        <f>TEXT(Retail_Data[Order_Date],"MMM")</f>
        <v>Nov</v>
      </c>
    </row>
    <row r="407" spans="1:11" x14ac:dyDescent="0.3">
      <c r="A407" t="s">
        <v>685</v>
      </c>
      <c r="B407" t="s">
        <v>296</v>
      </c>
      <c r="C407" t="s">
        <v>69</v>
      </c>
      <c r="D407" t="s">
        <v>34</v>
      </c>
      <c r="E407" t="s">
        <v>27</v>
      </c>
      <c r="F407" s="1">
        <v>28289.98</v>
      </c>
      <c r="G407">
        <v>2</v>
      </c>
      <c r="H407" s="1">
        <v>3474.88</v>
      </c>
      <c r="I407" t="s">
        <v>35</v>
      </c>
      <c r="J407">
        <f>YEAR(Retail_Data[Order_Date])</f>
        <v>2024</v>
      </c>
      <c r="K407" t="str">
        <f>TEXT(Retail_Data[Order_Date],"MMM")</f>
        <v>May</v>
      </c>
    </row>
    <row r="408" spans="1:11" x14ac:dyDescent="0.3">
      <c r="A408" t="s">
        <v>686</v>
      </c>
      <c r="B408" t="s">
        <v>291</v>
      </c>
      <c r="C408" t="s">
        <v>33</v>
      </c>
      <c r="D408" t="s">
        <v>34</v>
      </c>
      <c r="E408" t="s">
        <v>22</v>
      </c>
      <c r="F408" s="1">
        <v>23621.95</v>
      </c>
      <c r="G408">
        <v>6</v>
      </c>
      <c r="H408" s="1">
        <v>2199.58</v>
      </c>
      <c r="I408" t="s">
        <v>14</v>
      </c>
      <c r="J408">
        <f>YEAR(Retail_Data[Order_Date])</f>
        <v>2024</v>
      </c>
      <c r="K408" t="str">
        <f>TEXT(Retail_Data[Order_Date],"MMM")</f>
        <v>Feb</v>
      </c>
    </row>
    <row r="409" spans="1:11" x14ac:dyDescent="0.3">
      <c r="A409" t="s">
        <v>687</v>
      </c>
      <c r="B409" t="s">
        <v>269</v>
      </c>
      <c r="C409" t="s">
        <v>54</v>
      </c>
      <c r="D409" t="s">
        <v>18</v>
      </c>
      <c r="E409" t="s">
        <v>27</v>
      </c>
      <c r="F409" s="1">
        <v>14235.22</v>
      </c>
      <c r="G409">
        <v>9</v>
      </c>
      <c r="H409" s="1">
        <v>2987.24</v>
      </c>
      <c r="I409" t="s">
        <v>14</v>
      </c>
      <c r="J409">
        <f>YEAR(Retail_Data[Order_Date])</f>
        <v>2024</v>
      </c>
      <c r="K409" t="str">
        <f>TEXT(Retail_Data[Order_Date],"MMM")</f>
        <v>May</v>
      </c>
    </row>
    <row r="410" spans="1:11" x14ac:dyDescent="0.3">
      <c r="A410" t="s">
        <v>688</v>
      </c>
      <c r="B410" t="s">
        <v>633</v>
      </c>
      <c r="C410" t="s">
        <v>38</v>
      </c>
      <c r="D410" t="s">
        <v>39</v>
      </c>
      <c r="E410" t="s">
        <v>27</v>
      </c>
      <c r="F410" s="1">
        <v>6511.25</v>
      </c>
      <c r="G410">
        <v>8</v>
      </c>
      <c r="H410" s="1">
        <v>1064.3699999999999</v>
      </c>
      <c r="I410" t="s">
        <v>35</v>
      </c>
      <c r="J410">
        <f>YEAR(Retail_Data[Order_Date])</f>
        <v>2024</v>
      </c>
      <c r="K410" t="str">
        <f>TEXT(Retail_Data[Order_Date],"MMM")</f>
        <v>Aug</v>
      </c>
    </row>
    <row r="411" spans="1:11" x14ac:dyDescent="0.3">
      <c r="A411" t="s">
        <v>689</v>
      </c>
      <c r="B411" t="s">
        <v>190</v>
      </c>
      <c r="C411" t="s">
        <v>74</v>
      </c>
      <c r="D411" t="s">
        <v>18</v>
      </c>
      <c r="E411" t="s">
        <v>22</v>
      </c>
      <c r="F411" s="1">
        <v>2635.37</v>
      </c>
      <c r="G411">
        <v>1</v>
      </c>
      <c r="H411" s="1">
        <v>596.45000000000005</v>
      </c>
      <c r="I411" t="s">
        <v>35</v>
      </c>
      <c r="J411">
        <f>YEAR(Retail_Data[Order_Date])</f>
        <v>2024</v>
      </c>
      <c r="K411" t="str">
        <f>TEXT(Retail_Data[Order_Date],"MMM")</f>
        <v>Jun</v>
      </c>
    </row>
    <row r="412" spans="1:11" x14ac:dyDescent="0.3">
      <c r="A412" t="s">
        <v>690</v>
      </c>
      <c r="B412" t="s">
        <v>691</v>
      </c>
      <c r="C412" t="s">
        <v>62</v>
      </c>
      <c r="D412" t="s">
        <v>34</v>
      </c>
      <c r="E412" t="s">
        <v>57</v>
      </c>
      <c r="F412" s="1">
        <v>1517.83</v>
      </c>
      <c r="G412">
        <v>3</v>
      </c>
      <c r="H412" s="1">
        <v>310.77</v>
      </c>
      <c r="I412" t="s">
        <v>35</v>
      </c>
      <c r="J412">
        <f>YEAR(Retail_Data[Order_Date])</f>
        <v>2024</v>
      </c>
      <c r="K412" t="str">
        <f>TEXT(Retail_Data[Order_Date],"MMM")</f>
        <v>Oct</v>
      </c>
    </row>
    <row r="413" spans="1:11" x14ac:dyDescent="0.3">
      <c r="A413" t="s">
        <v>692</v>
      </c>
      <c r="B413" t="s">
        <v>262</v>
      </c>
      <c r="C413" t="s">
        <v>21</v>
      </c>
      <c r="D413" t="s">
        <v>18</v>
      </c>
      <c r="E413" t="s">
        <v>27</v>
      </c>
      <c r="F413" s="1">
        <v>12561.36</v>
      </c>
      <c r="G413">
        <v>6</v>
      </c>
      <c r="H413" s="1">
        <v>2103.59</v>
      </c>
      <c r="I413" t="s">
        <v>35</v>
      </c>
      <c r="J413">
        <f>YEAR(Retail_Data[Order_Date])</f>
        <v>2024</v>
      </c>
      <c r="K413" t="str">
        <f>TEXT(Retail_Data[Order_Date],"MMM")</f>
        <v>Jan</v>
      </c>
    </row>
    <row r="414" spans="1:11" x14ac:dyDescent="0.3">
      <c r="A414" t="s">
        <v>693</v>
      </c>
      <c r="B414" t="s">
        <v>488</v>
      </c>
      <c r="C414" t="s">
        <v>21</v>
      </c>
      <c r="D414" t="s">
        <v>18</v>
      </c>
      <c r="E414" t="s">
        <v>57</v>
      </c>
      <c r="F414" s="1">
        <v>34637.480000000003</v>
      </c>
      <c r="G414">
        <v>9</v>
      </c>
      <c r="H414" s="1">
        <v>5539.26</v>
      </c>
      <c r="I414" t="s">
        <v>14</v>
      </c>
      <c r="J414">
        <f>YEAR(Retail_Data[Order_Date])</f>
        <v>2024</v>
      </c>
      <c r="K414" t="str">
        <f>TEXT(Retail_Data[Order_Date],"MMM")</f>
        <v>Jun</v>
      </c>
    </row>
    <row r="415" spans="1:11" x14ac:dyDescent="0.3">
      <c r="A415" t="s">
        <v>694</v>
      </c>
      <c r="B415" t="s">
        <v>695</v>
      </c>
      <c r="C415" t="s">
        <v>38</v>
      </c>
      <c r="D415" t="s">
        <v>39</v>
      </c>
      <c r="E415" t="s">
        <v>57</v>
      </c>
      <c r="F415" s="1">
        <v>26090.81</v>
      </c>
      <c r="G415">
        <v>3</v>
      </c>
      <c r="H415" s="1">
        <v>4995.2</v>
      </c>
      <c r="I415" t="s">
        <v>35</v>
      </c>
      <c r="J415">
        <f>YEAR(Retail_Data[Order_Date])</f>
        <v>2024</v>
      </c>
      <c r="K415" t="str">
        <f>TEXT(Retail_Data[Order_Date],"MMM")</f>
        <v>Nov</v>
      </c>
    </row>
    <row r="416" spans="1:11" x14ac:dyDescent="0.3">
      <c r="A416" t="s">
        <v>696</v>
      </c>
      <c r="B416" t="s">
        <v>697</v>
      </c>
      <c r="C416" t="s">
        <v>30</v>
      </c>
      <c r="D416" t="s">
        <v>12</v>
      </c>
      <c r="E416" t="s">
        <v>13</v>
      </c>
      <c r="F416" s="1">
        <v>27426.86</v>
      </c>
      <c r="G416">
        <v>5</v>
      </c>
      <c r="H416" s="1">
        <v>4824.8500000000004</v>
      </c>
      <c r="I416" t="s">
        <v>14</v>
      </c>
      <c r="J416">
        <f>YEAR(Retail_Data[Order_Date])</f>
        <v>2024</v>
      </c>
      <c r="K416" t="str">
        <f>TEXT(Retail_Data[Order_Date],"MMM")</f>
        <v>Feb</v>
      </c>
    </row>
    <row r="417" spans="1:11" x14ac:dyDescent="0.3">
      <c r="A417" t="s">
        <v>698</v>
      </c>
      <c r="B417" t="s">
        <v>329</v>
      </c>
      <c r="C417" t="s">
        <v>44</v>
      </c>
      <c r="D417" t="s">
        <v>39</v>
      </c>
      <c r="E417" t="s">
        <v>13</v>
      </c>
      <c r="F417" s="1">
        <v>44280.33</v>
      </c>
      <c r="G417">
        <v>7</v>
      </c>
      <c r="H417" s="1">
        <v>7162.94</v>
      </c>
      <c r="I417" t="s">
        <v>35</v>
      </c>
      <c r="J417">
        <f>YEAR(Retail_Data[Order_Date])</f>
        <v>2024</v>
      </c>
      <c r="K417" t="str">
        <f>TEXT(Retail_Data[Order_Date],"MMM")</f>
        <v>Dec</v>
      </c>
    </row>
    <row r="418" spans="1:11" x14ac:dyDescent="0.3">
      <c r="A418" t="s">
        <v>699</v>
      </c>
      <c r="B418" t="s">
        <v>700</v>
      </c>
      <c r="C418" t="s">
        <v>69</v>
      </c>
      <c r="D418" t="s">
        <v>34</v>
      </c>
      <c r="E418" t="s">
        <v>22</v>
      </c>
      <c r="F418" s="1">
        <v>24014.49</v>
      </c>
      <c r="G418">
        <v>6</v>
      </c>
      <c r="H418" s="1">
        <v>2903.09</v>
      </c>
      <c r="I418" t="s">
        <v>14</v>
      </c>
      <c r="J418">
        <f>YEAR(Retail_Data[Order_Date])</f>
        <v>2024</v>
      </c>
      <c r="K418" t="str">
        <f>TEXT(Retail_Data[Order_Date],"MMM")</f>
        <v>Aug</v>
      </c>
    </row>
    <row r="419" spans="1:11" x14ac:dyDescent="0.3">
      <c r="A419" t="s">
        <v>701</v>
      </c>
      <c r="B419" t="s">
        <v>702</v>
      </c>
      <c r="C419" t="s">
        <v>54</v>
      </c>
      <c r="D419" t="s">
        <v>18</v>
      </c>
      <c r="E419" t="s">
        <v>27</v>
      </c>
      <c r="F419" s="1">
        <v>15546.12</v>
      </c>
      <c r="G419">
        <v>8</v>
      </c>
      <c r="H419" s="1">
        <v>1458.53</v>
      </c>
      <c r="I419" t="s">
        <v>35</v>
      </c>
      <c r="J419">
        <f>YEAR(Retail_Data[Order_Date])</f>
        <v>2024</v>
      </c>
      <c r="K419" t="str">
        <f>TEXT(Retail_Data[Order_Date],"MMM")</f>
        <v>Sep</v>
      </c>
    </row>
    <row r="420" spans="1:11" x14ac:dyDescent="0.3">
      <c r="A420" t="s">
        <v>703</v>
      </c>
      <c r="B420" t="s">
        <v>704</v>
      </c>
      <c r="C420" t="s">
        <v>38</v>
      </c>
      <c r="D420" t="s">
        <v>39</v>
      </c>
      <c r="E420" t="s">
        <v>13</v>
      </c>
      <c r="F420" s="1">
        <v>44077.21</v>
      </c>
      <c r="G420">
        <v>4</v>
      </c>
      <c r="H420" s="1">
        <v>3981.6</v>
      </c>
      <c r="I420" t="s">
        <v>35</v>
      </c>
      <c r="J420">
        <f>YEAR(Retail_Data[Order_Date])</f>
        <v>2024</v>
      </c>
      <c r="K420" t="str">
        <f>TEXT(Retail_Data[Order_Date],"MMM")</f>
        <v>Sep</v>
      </c>
    </row>
    <row r="421" spans="1:11" x14ac:dyDescent="0.3">
      <c r="A421" t="s">
        <v>705</v>
      </c>
      <c r="B421" t="s">
        <v>706</v>
      </c>
      <c r="C421" t="s">
        <v>74</v>
      </c>
      <c r="D421" t="s">
        <v>18</v>
      </c>
      <c r="E421" t="s">
        <v>22</v>
      </c>
      <c r="F421" s="1">
        <v>3962.14</v>
      </c>
      <c r="G421">
        <v>2</v>
      </c>
      <c r="H421" s="1">
        <v>321.91000000000003</v>
      </c>
      <c r="I421" t="s">
        <v>23</v>
      </c>
      <c r="J421">
        <f>YEAR(Retail_Data[Order_Date])</f>
        <v>2024</v>
      </c>
      <c r="K421" t="str">
        <f>TEXT(Retail_Data[Order_Date],"MMM")</f>
        <v>Dec</v>
      </c>
    </row>
    <row r="422" spans="1:11" x14ac:dyDescent="0.3">
      <c r="A422" t="s">
        <v>707</v>
      </c>
      <c r="B422" t="s">
        <v>395</v>
      </c>
      <c r="C422" t="s">
        <v>69</v>
      </c>
      <c r="D422" t="s">
        <v>34</v>
      </c>
      <c r="E422" t="s">
        <v>57</v>
      </c>
      <c r="F422" s="1">
        <v>43062.2</v>
      </c>
      <c r="G422">
        <v>2</v>
      </c>
      <c r="H422" s="1">
        <v>3586.65</v>
      </c>
      <c r="I422" t="s">
        <v>23</v>
      </c>
      <c r="J422">
        <f>YEAR(Retail_Data[Order_Date])</f>
        <v>2024</v>
      </c>
      <c r="K422" t="str">
        <f>TEXT(Retail_Data[Order_Date],"MMM")</f>
        <v>Jan</v>
      </c>
    </row>
    <row r="423" spans="1:11" x14ac:dyDescent="0.3">
      <c r="A423" t="s">
        <v>708</v>
      </c>
      <c r="B423" t="s">
        <v>709</v>
      </c>
      <c r="C423" t="s">
        <v>33</v>
      </c>
      <c r="D423" t="s">
        <v>34</v>
      </c>
      <c r="E423" t="s">
        <v>22</v>
      </c>
      <c r="F423" s="1">
        <v>5891.65</v>
      </c>
      <c r="G423">
        <v>2</v>
      </c>
      <c r="H423" s="1">
        <v>638.04</v>
      </c>
      <c r="I423" t="s">
        <v>14</v>
      </c>
      <c r="J423">
        <f>YEAR(Retail_Data[Order_Date])</f>
        <v>2024</v>
      </c>
      <c r="K423" t="str">
        <f>TEXT(Retail_Data[Order_Date],"MMM")</f>
        <v>Nov</v>
      </c>
    </row>
    <row r="424" spans="1:11" x14ac:dyDescent="0.3">
      <c r="A424" t="s">
        <v>710</v>
      </c>
      <c r="B424" t="s">
        <v>123</v>
      </c>
      <c r="C424" t="s">
        <v>62</v>
      </c>
      <c r="D424" t="s">
        <v>34</v>
      </c>
      <c r="E424" t="s">
        <v>57</v>
      </c>
      <c r="F424" s="1">
        <v>26894.05</v>
      </c>
      <c r="G424">
        <v>2</v>
      </c>
      <c r="H424" s="1">
        <v>2119.65</v>
      </c>
      <c r="I424" t="s">
        <v>23</v>
      </c>
      <c r="J424">
        <f>YEAR(Retail_Data[Order_Date])</f>
        <v>2024</v>
      </c>
      <c r="K424" t="str">
        <f>TEXT(Retail_Data[Order_Date],"MMM")</f>
        <v>Jul</v>
      </c>
    </row>
    <row r="425" spans="1:11" x14ac:dyDescent="0.3">
      <c r="A425" t="s">
        <v>711</v>
      </c>
      <c r="B425" t="s">
        <v>336</v>
      </c>
      <c r="C425" t="s">
        <v>11</v>
      </c>
      <c r="D425" t="s">
        <v>12</v>
      </c>
      <c r="E425" t="s">
        <v>57</v>
      </c>
      <c r="F425" s="1">
        <v>14368.58</v>
      </c>
      <c r="G425">
        <v>3</v>
      </c>
      <c r="H425" s="1">
        <v>1358.44</v>
      </c>
      <c r="I425" t="s">
        <v>23</v>
      </c>
      <c r="J425">
        <f>YEAR(Retail_Data[Order_Date])</f>
        <v>2024</v>
      </c>
      <c r="K425" t="str">
        <f>TEXT(Retail_Data[Order_Date],"MMM")</f>
        <v>May</v>
      </c>
    </row>
    <row r="426" spans="1:11" x14ac:dyDescent="0.3">
      <c r="A426" t="s">
        <v>712</v>
      </c>
      <c r="B426" t="s">
        <v>356</v>
      </c>
      <c r="C426" t="s">
        <v>69</v>
      </c>
      <c r="D426" t="s">
        <v>34</v>
      </c>
      <c r="E426" t="s">
        <v>27</v>
      </c>
      <c r="F426" s="1">
        <v>34239.25</v>
      </c>
      <c r="G426">
        <v>6</v>
      </c>
      <c r="H426" s="1">
        <v>5848.98</v>
      </c>
      <c r="I426" t="s">
        <v>23</v>
      </c>
      <c r="J426">
        <f>YEAR(Retail_Data[Order_Date])</f>
        <v>2024</v>
      </c>
      <c r="K426" t="str">
        <f>TEXT(Retail_Data[Order_Date],"MMM")</f>
        <v>Oct</v>
      </c>
    </row>
    <row r="427" spans="1:11" x14ac:dyDescent="0.3">
      <c r="A427" t="s">
        <v>713</v>
      </c>
      <c r="B427" t="s">
        <v>714</v>
      </c>
      <c r="C427" t="s">
        <v>69</v>
      </c>
      <c r="D427" t="s">
        <v>34</v>
      </c>
      <c r="E427" t="s">
        <v>22</v>
      </c>
      <c r="F427" s="1">
        <v>24094.9</v>
      </c>
      <c r="G427">
        <v>1</v>
      </c>
      <c r="H427" s="1">
        <v>2671.64</v>
      </c>
      <c r="I427" t="s">
        <v>23</v>
      </c>
      <c r="J427">
        <f>YEAR(Retail_Data[Order_Date])</f>
        <v>2024</v>
      </c>
      <c r="K427" t="str">
        <f>TEXT(Retail_Data[Order_Date],"MMM")</f>
        <v>Mar</v>
      </c>
    </row>
    <row r="428" spans="1:11" x14ac:dyDescent="0.3">
      <c r="A428" t="s">
        <v>715</v>
      </c>
      <c r="B428" t="s">
        <v>384</v>
      </c>
      <c r="C428" t="s">
        <v>11</v>
      </c>
      <c r="D428" t="s">
        <v>12</v>
      </c>
      <c r="E428" t="s">
        <v>13</v>
      </c>
      <c r="F428" s="1">
        <v>11920.57</v>
      </c>
      <c r="G428">
        <v>10</v>
      </c>
      <c r="H428" s="1">
        <v>2240.2199999999998</v>
      </c>
      <c r="I428" t="s">
        <v>35</v>
      </c>
      <c r="J428">
        <f>YEAR(Retail_Data[Order_Date])</f>
        <v>2024</v>
      </c>
      <c r="K428" t="str">
        <f>TEXT(Retail_Data[Order_Date],"MMM")</f>
        <v>Apr</v>
      </c>
    </row>
    <row r="429" spans="1:11" x14ac:dyDescent="0.3">
      <c r="A429" t="s">
        <v>716</v>
      </c>
      <c r="B429" t="s">
        <v>463</v>
      </c>
      <c r="C429" t="s">
        <v>17</v>
      </c>
      <c r="D429" t="s">
        <v>18</v>
      </c>
      <c r="E429" t="s">
        <v>27</v>
      </c>
      <c r="F429" s="1">
        <v>23588.080000000002</v>
      </c>
      <c r="G429">
        <v>6</v>
      </c>
      <c r="H429" s="1">
        <v>5730.96</v>
      </c>
      <c r="I429" t="s">
        <v>23</v>
      </c>
      <c r="J429">
        <f>YEAR(Retail_Data[Order_Date])</f>
        <v>2024</v>
      </c>
      <c r="K429" t="str">
        <f>TEXT(Retail_Data[Order_Date],"MMM")</f>
        <v>May</v>
      </c>
    </row>
    <row r="430" spans="1:11" x14ac:dyDescent="0.3">
      <c r="A430" t="s">
        <v>717</v>
      </c>
      <c r="B430" t="s">
        <v>253</v>
      </c>
      <c r="C430" t="s">
        <v>11</v>
      </c>
      <c r="D430" t="s">
        <v>12</v>
      </c>
      <c r="E430" t="s">
        <v>22</v>
      </c>
      <c r="F430" s="1">
        <v>14723.2</v>
      </c>
      <c r="G430">
        <v>1</v>
      </c>
      <c r="H430" s="1">
        <v>2447.5100000000002</v>
      </c>
      <c r="I430" t="s">
        <v>35</v>
      </c>
      <c r="J430">
        <f>YEAR(Retail_Data[Order_Date])</f>
        <v>2024</v>
      </c>
      <c r="K430" t="str">
        <f>TEXT(Retail_Data[Order_Date],"MMM")</f>
        <v>Feb</v>
      </c>
    </row>
    <row r="431" spans="1:11" x14ac:dyDescent="0.3">
      <c r="A431" t="s">
        <v>718</v>
      </c>
      <c r="B431" t="s">
        <v>666</v>
      </c>
      <c r="C431" t="s">
        <v>30</v>
      </c>
      <c r="D431" t="s">
        <v>12</v>
      </c>
      <c r="E431" t="s">
        <v>13</v>
      </c>
      <c r="F431" s="1">
        <v>35265.879999999997</v>
      </c>
      <c r="G431">
        <v>4</v>
      </c>
      <c r="H431" s="1">
        <v>3525.34</v>
      </c>
      <c r="I431" t="s">
        <v>23</v>
      </c>
      <c r="J431">
        <f>YEAR(Retail_Data[Order_Date])</f>
        <v>2024</v>
      </c>
      <c r="K431" t="str">
        <f>TEXT(Retail_Data[Order_Date],"MMM")</f>
        <v>Oct</v>
      </c>
    </row>
    <row r="432" spans="1:11" x14ac:dyDescent="0.3">
      <c r="A432" t="s">
        <v>719</v>
      </c>
      <c r="B432" t="s">
        <v>720</v>
      </c>
      <c r="C432" t="s">
        <v>69</v>
      </c>
      <c r="D432" t="s">
        <v>34</v>
      </c>
      <c r="E432" t="s">
        <v>57</v>
      </c>
      <c r="F432" s="1">
        <v>23410.82</v>
      </c>
      <c r="G432">
        <v>2</v>
      </c>
      <c r="H432" s="1">
        <v>5318.72</v>
      </c>
      <c r="I432" t="s">
        <v>14</v>
      </c>
      <c r="J432">
        <f>YEAR(Retail_Data[Order_Date])</f>
        <v>2024</v>
      </c>
      <c r="K432" t="str">
        <f>TEXT(Retail_Data[Order_Date],"MMM")</f>
        <v>May</v>
      </c>
    </row>
    <row r="433" spans="1:11" x14ac:dyDescent="0.3">
      <c r="A433" t="s">
        <v>721</v>
      </c>
      <c r="B433" t="s">
        <v>162</v>
      </c>
      <c r="C433" t="s">
        <v>109</v>
      </c>
      <c r="D433" t="s">
        <v>34</v>
      </c>
      <c r="E433" t="s">
        <v>57</v>
      </c>
      <c r="F433" s="1">
        <v>7398.78</v>
      </c>
      <c r="G433">
        <v>6</v>
      </c>
      <c r="H433" s="1">
        <v>1209.69</v>
      </c>
      <c r="I433" t="s">
        <v>14</v>
      </c>
      <c r="J433">
        <f>YEAR(Retail_Data[Order_Date])</f>
        <v>2024</v>
      </c>
      <c r="K433" t="str">
        <f>TEXT(Retail_Data[Order_Date],"MMM")</f>
        <v>Nov</v>
      </c>
    </row>
    <row r="434" spans="1:11" x14ac:dyDescent="0.3">
      <c r="A434" t="s">
        <v>722</v>
      </c>
      <c r="B434" t="s">
        <v>329</v>
      </c>
      <c r="C434" t="s">
        <v>33</v>
      </c>
      <c r="D434" t="s">
        <v>34</v>
      </c>
      <c r="E434" t="s">
        <v>13</v>
      </c>
      <c r="F434" s="1">
        <v>40858.800000000003</v>
      </c>
      <c r="G434">
        <v>2</v>
      </c>
      <c r="H434" s="1">
        <v>2467.4</v>
      </c>
      <c r="I434" t="s">
        <v>35</v>
      </c>
      <c r="J434">
        <f>YEAR(Retail_Data[Order_Date])</f>
        <v>2024</v>
      </c>
      <c r="K434" t="str">
        <f>TEXT(Retail_Data[Order_Date],"MMM")</f>
        <v>Dec</v>
      </c>
    </row>
    <row r="435" spans="1:11" x14ac:dyDescent="0.3">
      <c r="A435" t="s">
        <v>723</v>
      </c>
      <c r="B435" t="s">
        <v>108</v>
      </c>
      <c r="C435" t="s">
        <v>30</v>
      </c>
      <c r="D435" t="s">
        <v>12</v>
      </c>
      <c r="E435" t="s">
        <v>27</v>
      </c>
      <c r="F435" s="1">
        <v>34055.68</v>
      </c>
      <c r="G435">
        <v>8</v>
      </c>
      <c r="H435" s="1">
        <v>3712.35</v>
      </c>
      <c r="I435" t="s">
        <v>14</v>
      </c>
      <c r="J435">
        <f>YEAR(Retail_Data[Order_Date])</f>
        <v>2024</v>
      </c>
      <c r="K435" t="str">
        <f>TEXT(Retail_Data[Order_Date],"MMM")</f>
        <v>Feb</v>
      </c>
    </row>
    <row r="436" spans="1:11" x14ac:dyDescent="0.3">
      <c r="A436" t="s">
        <v>724</v>
      </c>
      <c r="B436" t="s">
        <v>725</v>
      </c>
      <c r="C436" t="s">
        <v>69</v>
      </c>
      <c r="D436" t="s">
        <v>34</v>
      </c>
      <c r="E436" t="s">
        <v>57</v>
      </c>
      <c r="F436" s="1">
        <v>22684.83</v>
      </c>
      <c r="G436">
        <v>1</v>
      </c>
      <c r="H436" s="1">
        <v>1551.21</v>
      </c>
      <c r="I436" t="s">
        <v>14</v>
      </c>
      <c r="J436">
        <f>YEAR(Retail_Data[Order_Date])</f>
        <v>2024</v>
      </c>
      <c r="K436" t="str">
        <f>TEXT(Retail_Data[Order_Date],"MMM")</f>
        <v>Feb</v>
      </c>
    </row>
    <row r="437" spans="1:11" x14ac:dyDescent="0.3">
      <c r="A437" t="s">
        <v>726</v>
      </c>
      <c r="B437" t="s">
        <v>727</v>
      </c>
      <c r="C437" t="s">
        <v>38</v>
      </c>
      <c r="D437" t="s">
        <v>39</v>
      </c>
      <c r="E437" t="s">
        <v>13</v>
      </c>
      <c r="F437" s="1">
        <v>17546.099999999999</v>
      </c>
      <c r="G437">
        <v>1</v>
      </c>
      <c r="H437" s="1">
        <v>2102.2399999999998</v>
      </c>
      <c r="I437" t="s">
        <v>14</v>
      </c>
      <c r="J437">
        <f>YEAR(Retail_Data[Order_Date])</f>
        <v>2024</v>
      </c>
      <c r="K437" t="str">
        <f>TEXT(Retail_Data[Order_Date],"MMM")</f>
        <v>May</v>
      </c>
    </row>
    <row r="438" spans="1:11" x14ac:dyDescent="0.3">
      <c r="A438" t="s">
        <v>728</v>
      </c>
      <c r="B438" t="s">
        <v>729</v>
      </c>
      <c r="C438" t="s">
        <v>11</v>
      </c>
      <c r="D438" t="s">
        <v>12</v>
      </c>
      <c r="E438" t="s">
        <v>27</v>
      </c>
      <c r="F438" s="1">
        <v>5033.18</v>
      </c>
      <c r="G438">
        <v>5</v>
      </c>
      <c r="H438" s="1">
        <v>357.94</v>
      </c>
      <c r="I438" t="s">
        <v>23</v>
      </c>
      <c r="J438">
        <f>YEAR(Retail_Data[Order_Date])</f>
        <v>2024</v>
      </c>
      <c r="K438" t="str">
        <f>TEXT(Retail_Data[Order_Date],"MMM")</f>
        <v>Sep</v>
      </c>
    </row>
    <row r="439" spans="1:11" x14ac:dyDescent="0.3">
      <c r="A439" t="s">
        <v>730</v>
      </c>
      <c r="B439" t="s">
        <v>731</v>
      </c>
      <c r="C439" t="s">
        <v>33</v>
      </c>
      <c r="D439" t="s">
        <v>34</v>
      </c>
      <c r="E439" t="s">
        <v>57</v>
      </c>
      <c r="F439" s="1">
        <v>38885.129999999997</v>
      </c>
      <c r="G439">
        <v>9</v>
      </c>
      <c r="H439" s="1">
        <v>4737.51</v>
      </c>
      <c r="I439" t="s">
        <v>35</v>
      </c>
      <c r="J439">
        <f>YEAR(Retail_Data[Order_Date])</f>
        <v>2024</v>
      </c>
      <c r="K439" t="str">
        <f>TEXT(Retail_Data[Order_Date],"MMM")</f>
        <v>Jun</v>
      </c>
    </row>
    <row r="440" spans="1:11" x14ac:dyDescent="0.3">
      <c r="A440" t="s">
        <v>732</v>
      </c>
      <c r="B440" t="s">
        <v>733</v>
      </c>
      <c r="C440" t="s">
        <v>11</v>
      </c>
      <c r="D440" t="s">
        <v>12</v>
      </c>
      <c r="E440" t="s">
        <v>57</v>
      </c>
      <c r="F440" s="1">
        <v>31098.37</v>
      </c>
      <c r="G440">
        <v>8</v>
      </c>
      <c r="H440" s="1">
        <v>6238.81</v>
      </c>
      <c r="I440" t="s">
        <v>35</v>
      </c>
      <c r="J440">
        <f>YEAR(Retail_Data[Order_Date])</f>
        <v>2024</v>
      </c>
      <c r="K440" t="str">
        <f>TEXT(Retail_Data[Order_Date],"MMM")</f>
        <v>Jan</v>
      </c>
    </row>
    <row r="441" spans="1:11" x14ac:dyDescent="0.3">
      <c r="A441" t="s">
        <v>734</v>
      </c>
      <c r="B441" t="s">
        <v>735</v>
      </c>
      <c r="C441" t="s">
        <v>62</v>
      </c>
      <c r="D441" t="s">
        <v>34</v>
      </c>
      <c r="E441" t="s">
        <v>57</v>
      </c>
      <c r="F441" s="1">
        <v>13727.49</v>
      </c>
      <c r="G441">
        <v>2</v>
      </c>
      <c r="H441" s="1">
        <v>1246</v>
      </c>
      <c r="I441" t="s">
        <v>35</v>
      </c>
      <c r="J441">
        <f>YEAR(Retail_Data[Order_Date])</f>
        <v>2024</v>
      </c>
      <c r="K441" t="str">
        <f>TEXT(Retail_Data[Order_Date],"MMM")</f>
        <v>Jul</v>
      </c>
    </row>
    <row r="442" spans="1:11" x14ac:dyDescent="0.3">
      <c r="A442" t="s">
        <v>736</v>
      </c>
      <c r="B442" t="s">
        <v>43</v>
      </c>
      <c r="C442" t="s">
        <v>49</v>
      </c>
      <c r="D442" t="s">
        <v>12</v>
      </c>
      <c r="E442" t="s">
        <v>13</v>
      </c>
      <c r="F442" s="1">
        <v>45269.61</v>
      </c>
      <c r="G442">
        <v>8</v>
      </c>
      <c r="H442" s="1">
        <v>8628.27</v>
      </c>
      <c r="I442" t="s">
        <v>23</v>
      </c>
      <c r="J442">
        <f>YEAR(Retail_Data[Order_Date])</f>
        <v>2024</v>
      </c>
      <c r="K442" t="str">
        <f>TEXT(Retail_Data[Order_Date],"MMM")</f>
        <v>Dec</v>
      </c>
    </row>
    <row r="443" spans="1:11" x14ac:dyDescent="0.3">
      <c r="A443" t="s">
        <v>737</v>
      </c>
      <c r="B443" t="s">
        <v>225</v>
      </c>
      <c r="C443" t="s">
        <v>21</v>
      </c>
      <c r="D443" t="s">
        <v>18</v>
      </c>
      <c r="E443" t="s">
        <v>27</v>
      </c>
      <c r="F443" s="1">
        <v>42660.75</v>
      </c>
      <c r="G443">
        <v>9</v>
      </c>
      <c r="H443" s="1">
        <v>7737.66</v>
      </c>
      <c r="I443" t="s">
        <v>23</v>
      </c>
      <c r="J443">
        <f>YEAR(Retail_Data[Order_Date])</f>
        <v>2024</v>
      </c>
      <c r="K443" t="str">
        <f>TEXT(Retail_Data[Order_Date],"MMM")</f>
        <v>Jun</v>
      </c>
    </row>
    <row r="444" spans="1:11" x14ac:dyDescent="0.3">
      <c r="A444" t="s">
        <v>738</v>
      </c>
      <c r="B444" t="s">
        <v>497</v>
      </c>
      <c r="C444" t="s">
        <v>38</v>
      </c>
      <c r="D444" t="s">
        <v>39</v>
      </c>
      <c r="E444" t="s">
        <v>13</v>
      </c>
      <c r="F444" s="1">
        <v>2202.13</v>
      </c>
      <c r="G444">
        <v>5</v>
      </c>
      <c r="H444" s="1">
        <v>313.23</v>
      </c>
      <c r="I444" t="s">
        <v>23</v>
      </c>
      <c r="J444">
        <f>YEAR(Retail_Data[Order_Date])</f>
        <v>2024</v>
      </c>
      <c r="K444" t="str">
        <f>TEXT(Retail_Data[Order_Date],"MMM")</f>
        <v>Jan</v>
      </c>
    </row>
    <row r="445" spans="1:11" x14ac:dyDescent="0.3">
      <c r="A445" t="s">
        <v>739</v>
      </c>
      <c r="B445" t="s">
        <v>695</v>
      </c>
      <c r="C445" t="s">
        <v>33</v>
      </c>
      <c r="D445" t="s">
        <v>34</v>
      </c>
      <c r="E445" t="s">
        <v>13</v>
      </c>
      <c r="F445" s="1">
        <v>12864.12</v>
      </c>
      <c r="G445">
        <v>6</v>
      </c>
      <c r="H445" s="1">
        <v>1138.79</v>
      </c>
      <c r="I445" t="s">
        <v>14</v>
      </c>
      <c r="J445">
        <f>YEAR(Retail_Data[Order_Date])</f>
        <v>2024</v>
      </c>
      <c r="K445" t="str">
        <f>TEXT(Retail_Data[Order_Date],"MMM")</f>
        <v>Nov</v>
      </c>
    </row>
    <row r="446" spans="1:11" x14ac:dyDescent="0.3">
      <c r="A446" t="s">
        <v>740</v>
      </c>
      <c r="B446" t="s">
        <v>356</v>
      </c>
      <c r="C446" t="s">
        <v>33</v>
      </c>
      <c r="D446" t="s">
        <v>34</v>
      </c>
      <c r="E446" t="s">
        <v>57</v>
      </c>
      <c r="F446" s="1">
        <v>5474.07</v>
      </c>
      <c r="G446">
        <v>3</v>
      </c>
      <c r="H446" s="1">
        <v>415.64</v>
      </c>
      <c r="I446" t="s">
        <v>14</v>
      </c>
      <c r="J446">
        <f>YEAR(Retail_Data[Order_Date])</f>
        <v>2024</v>
      </c>
      <c r="K446" t="str">
        <f>TEXT(Retail_Data[Order_Date],"MMM")</f>
        <v>Oct</v>
      </c>
    </row>
    <row r="447" spans="1:11" x14ac:dyDescent="0.3">
      <c r="A447" t="s">
        <v>741</v>
      </c>
      <c r="B447" t="s">
        <v>212</v>
      </c>
      <c r="C447" t="s">
        <v>38</v>
      </c>
      <c r="D447" t="s">
        <v>39</v>
      </c>
      <c r="E447" t="s">
        <v>27</v>
      </c>
      <c r="F447" s="1">
        <v>27067.21</v>
      </c>
      <c r="G447">
        <v>9</v>
      </c>
      <c r="H447" s="1">
        <v>6291.35</v>
      </c>
      <c r="I447" t="s">
        <v>35</v>
      </c>
      <c r="J447">
        <f>YEAR(Retail_Data[Order_Date])</f>
        <v>2024</v>
      </c>
      <c r="K447" t="str">
        <f>TEXT(Retail_Data[Order_Date],"MMM")</f>
        <v>Nov</v>
      </c>
    </row>
    <row r="448" spans="1:11" x14ac:dyDescent="0.3">
      <c r="A448" t="s">
        <v>742</v>
      </c>
      <c r="B448" t="s">
        <v>104</v>
      </c>
      <c r="C448" t="s">
        <v>74</v>
      </c>
      <c r="D448" t="s">
        <v>18</v>
      </c>
      <c r="E448" t="s">
        <v>22</v>
      </c>
      <c r="F448" s="1">
        <v>37292.120000000003</v>
      </c>
      <c r="G448">
        <v>4</v>
      </c>
      <c r="H448" s="1">
        <v>8687.18</v>
      </c>
      <c r="I448" t="s">
        <v>35</v>
      </c>
      <c r="J448">
        <f>YEAR(Retail_Data[Order_Date])</f>
        <v>2024</v>
      </c>
      <c r="K448" t="str">
        <f>TEXT(Retail_Data[Order_Date],"MMM")</f>
        <v>Dec</v>
      </c>
    </row>
    <row r="449" spans="1:11" x14ac:dyDescent="0.3">
      <c r="A449" t="s">
        <v>743</v>
      </c>
      <c r="B449" t="s">
        <v>71</v>
      </c>
      <c r="C449" t="s">
        <v>11</v>
      </c>
      <c r="D449" t="s">
        <v>12</v>
      </c>
      <c r="E449" t="s">
        <v>22</v>
      </c>
      <c r="F449" s="1">
        <v>28759.05</v>
      </c>
      <c r="G449">
        <v>8</v>
      </c>
      <c r="H449" s="1">
        <v>5750.43</v>
      </c>
      <c r="I449" t="s">
        <v>14</v>
      </c>
      <c r="J449">
        <f>YEAR(Retail_Data[Order_Date])</f>
        <v>2024</v>
      </c>
      <c r="K449" t="str">
        <f>TEXT(Retail_Data[Order_Date],"MMM")</f>
        <v>May</v>
      </c>
    </row>
    <row r="450" spans="1:11" x14ac:dyDescent="0.3">
      <c r="A450" t="s">
        <v>744</v>
      </c>
      <c r="B450" t="s">
        <v>745</v>
      </c>
      <c r="C450" t="s">
        <v>17</v>
      </c>
      <c r="D450" t="s">
        <v>18</v>
      </c>
      <c r="E450" t="s">
        <v>27</v>
      </c>
      <c r="F450" s="1">
        <v>4170.17</v>
      </c>
      <c r="G450">
        <v>2</v>
      </c>
      <c r="H450" s="1">
        <v>567.41999999999996</v>
      </c>
      <c r="I450" t="s">
        <v>23</v>
      </c>
      <c r="J450">
        <f>YEAR(Retail_Data[Order_Date])</f>
        <v>2024</v>
      </c>
      <c r="K450" t="str">
        <f>TEXT(Retail_Data[Order_Date],"MMM")</f>
        <v>May</v>
      </c>
    </row>
    <row r="451" spans="1:11" x14ac:dyDescent="0.3">
      <c r="A451" t="s">
        <v>746</v>
      </c>
      <c r="B451" t="s">
        <v>136</v>
      </c>
      <c r="C451" t="s">
        <v>109</v>
      </c>
      <c r="D451" t="s">
        <v>34</v>
      </c>
      <c r="E451" t="s">
        <v>27</v>
      </c>
      <c r="F451" s="1">
        <v>42747.8</v>
      </c>
      <c r="G451">
        <v>10</v>
      </c>
      <c r="H451" s="1">
        <v>5691.38</v>
      </c>
      <c r="I451" t="s">
        <v>35</v>
      </c>
      <c r="J451">
        <f>YEAR(Retail_Data[Order_Date])</f>
        <v>2024</v>
      </c>
      <c r="K451" t="str">
        <f>TEXT(Retail_Data[Order_Date],"MMM")</f>
        <v>Dec</v>
      </c>
    </row>
    <row r="452" spans="1:11" x14ac:dyDescent="0.3">
      <c r="A452" t="s">
        <v>747</v>
      </c>
      <c r="B452" t="s">
        <v>748</v>
      </c>
      <c r="C452" t="s">
        <v>109</v>
      </c>
      <c r="D452" t="s">
        <v>34</v>
      </c>
      <c r="E452" t="s">
        <v>27</v>
      </c>
      <c r="F452" s="1">
        <v>47849.08</v>
      </c>
      <c r="G452">
        <v>8</v>
      </c>
      <c r="H452" s="1">
        <v>3837.09</v>
      </c>
      <c r="I452" t="s">
        <v>23</v>
      </c>
      <c r="J452">
        <f>YEAR(Retail_Data[Order_Date])</f>
        <v>2024</v>
      </c>
      <c r="K452" t="str">
        <f>TEXT(Retail_Data[Order_Date],"MMM")</f>
        <v>Dec</v>
      </c>
    </row>
    <row r="453" spans="1:11" x14ac:dyDescent="0.3">
      <c r="A453" t="s">
        <v>749</v>
      </c>
      <c r="B453" t="s">
        <v>506</v>
      </c>
      <c r="C453" t="s">
        <v>62</v>
      </c>
      <c r="D453" t="s">
        <v>34</v>
      </c>
      <c r="E453" t="s">
        <v>57</v>
      </c>
      <c r="F453" s="1">
        <v>15685.66</v>
      </c>
      <c r="G453">
        <v>4</v>
      </c>
      <c r="H453" s="1">
        <v>3602.62</v>
      </c>
      <c r="I453" t="s">
        <v>14</v>
      </c>
      <c r="J453">
        <f>YEAR(Retail_Data[Order_Date])</f>
        <v>2024</v>
      </c>
      <c r="K453" t="str">
        <f>TEXT(Retail_Data[Order_Date],"MMM")</f>
        <v>Apr</v>
      </c>
    </row>
    <row r="454" spans="1:11" x14ac:dyDescent="0.3">
      <c r="A454" t="s">
        <v>750</v>
      </c>
      <c r="B454" t="s">
        <v>492</v>
      </c>
      <c r="C454" t="s">
        <v>33</v>
      </c>
      <c r="D454" t="s">
        <v>34</v>
      </c>
      <c r="E454" t="s">
        <v>57</v>
      </c>
      <c r="F454" s="1">
        <v>6888.55</v>
      </c>
      <c r="G454">
        <v>9</v>
      </c>
      <c r="H454" s="1">
        <v>673.92</v>
      </c>
      <c r="I454" t="s">
        <v>14</v>
      </c>
      <c r="J454">
        <f>YEAR(Retail_Data[Order_Date])</f>
        <v>2024</v>
      </c>
      <c r="K454" t="str">
        <f>TEXT(Retail_Data[Order_Date],"MMM")</f>
        <v>Jul</v>
      </c>
    </row>
    <row r="455" spans="1:11" x14ac:dyDescent="0.3">
      <c r="A455" t="s">
        <v>751</v>
      </c>
      <c r="B455" t="s">
        <v>455</v>
      </c>
      <c r="C455" t="s">
        <v>33</v>
      </c>
      <c r="D455" t="s">
        <v>34</v>
      </c>
      <c r="E455" t="s">
        <v>27</v>
      </c>
      <c r="F455" s="1">
        <v>29604.98</v>
      </c>
      <c r="G455">
        <v>8</v>
      </c>
      <c r="H455" s="1">
        <v>2799.85</v>
      </c>
      <c r="I455" t="s">
        <v>35</v>
      </c>
      <c r="J455">
        <f>YEAR(Retail_Data[Order_Date])</f>
        <v>2024</v>
      </c>
      <c r="K455" t="str">
        <f>TEXT(Retail_Data[Order_Date],"MMM")</f>
        <v>Aug</v>
      </c>
    </row>
    <row r="456" spans="1:11" x14ac:dyDescent="0.3">
      <c r="A456" t="s">
        <v>752</v>
      </c>
      <c r="B456" t="s">
        <v>231</v>
      </c>
      <c r="C456" t="s">
        <v>26</v>
      </c>
      <c r="D456" t="s">
        <v>12</v>
      </c>
      <c r="E456" t="s">
        <v>27</v>
      </c>
      <c r="F456" s="1">
        <v>15677.11</v>
      </c>
      <c r="G456">
        <v>5</v>
      </c>
      <c r="H456" s="1">
        <v>3070.28</v>
      </c>
      <c r="I456" t="s">
        <v>35</v>
      </c>
      <c r="J456">
        <f>YEAR(Retail_Data[Order_Date])</f>
        <v>2024</v>
      </c>
      <c r="K456" t="str">
        <f>TEXT(Retail_Data[Order_Date],"MMM")</f>
        <v>May</v>
      </c>
    </row>
    <row r="457" spans="1:11" x14ac:dyDescent="0.3">
      <c r="A457" t="s">
        <v>753</v>
      </c>
      <c r="B457" t="s">
        <v>754</v>
      </c>
      <c r="C457" t="s">
        <v>38</v>
      </c>
      <c r="D457" t="s">
        <v>39</v>
      </c>
      <c r="E457" t="s">
        <v>22</v>
      </c>
      <c r="F457" s="1">
        <v>29493.71</v>
      </c>
      <c r="G457">
        <v>1</v>
      </c>
      <c r="H457" s="1">
        <v>6076.25</v>
      </c>
      <c r="I457" t="s">
        <v>35</v>
      </c>
      <c r="J457">
        <f>YEAR(Retail_Data[Order_Date])</f>
        <v>2024</v>
      </c>
      <c r="K457" t="str">
        <f>TEXT(Retail_Data[Order_Date],"MMM")</f>
        <v>Oct</v>
      </c>
    </row>
    <row r="458" spans="1:11" x14ac:dyDescent="0.3">
      <c r="A458" t="s">
        <v>755</v>
      </c>
      <c r="B458" t="s">
        <v>756</v>
      </c>
      <c r="C458" t="s">
        <v>17</v>
      </c>
      <c r="D458" t="s">
        <v>18</v>
      </c>
      <c r="E458" t="s">
        <v>57</v>
      </c>
      <c r="F458" s="1">
        <v>30221.74</v>
      </c>
      <c r="G458">
        <v>6</v>
      </c>
      <c r="H458" s="1">
        <v>4187.2299999999996</v>
      </c>
      <c r="I458" t="s">
        <v>35</v>
      </c>
      <c r="J458">
        <f>YEAR(Retail_Data[Order_Date])</f>
        <v>2024</v>
      </c>
      <c r="K458" t="str">
        <f>TEXT(Retail_Data[Order_Date],"MMM")</f>
        <v>Feb</v>
      </c>
    </row>
    <row r="459" spans="1:11" x14ac:dyDescent="0.3">
      <c r="A459" t="s">
        <v>757</v>
      </c>
      <c r="B459" t="s">
        <v>758</v>
      </c>
      <c r="C459" t="s">
        <v>62</v>
      </c>
      <c r="D459" t="s">
        <v>34</v>
      </c>
      <c r="E459" t="s">
        <v>57</v>
      </c>
      <c r="F459" s="1">
        <v>27077.1</v>
      </c>
      <c r="G459">
        <v>9</v>
      </c>
      <c r="H459" s="1">
        <v>5226.05</v>
      </c>
      <c r="I459" t="s">
        <v>23</v>
      </c>
      <c r="J459">
        <f>YEAR(Retail_Data[Order_Date])</f>
        <v>2024</v>
      </c>
      <c r="K459" t="str">
        <f>TEXT(Retail_Data[Order_Date],"MMM")</f>
        <v>Oct</v>
      </c>
    </row>
    <row r="460" spans="1:11" x14ac:dyDescent="0.3">
      <c r="A460" t="s">
        <v>759</v>
      </c>
      <c r="B460" t="s">
        <v>709</v>
      </c>
      <c r="C460" t="s">
        <v>69</v>
      </c>
      <c r="D460" t="s">
        <v>34</v>
      </c>
      <c r="E460" t="s">
        <v>27</v>
      </c>
      <c r="F460" s="1">
        <v>37863.089999999997</v>
      </c>
      <c r="G460">
        <v>9</v>
      </c>
      <c r="H460" s="1">
        <v>8636.7199999999993</v>
      </c>
      <c r="I460" t="s">
        <v>23</v>
      </c>
      <c r="J460">
        <f>YEAR(Retail_Data[Order_Date])</f>
        <v>2024</v>
      </c>
      <c r="K460" t="str">
        <f>TEXT(Retail_Data[Order_Date],"MMM")</f>
        <v>Nov</v>
      </c>
    </row>
    <row r="461" spans="1:11" x14ac:dyDescent="0.3">
      <c r="A461" t="s">
        <v>760</v>
      </c>
      <c r="B461" t="s">
        <v>96</v>
      </c>
      <c r="C461" t="s">
        <v>33</v>
      </c>
      <c r="D461" t="s">
        <v>34</v>
      </c>
      <c r="E461" t="s">
        <v>13</v>
      </c>
      <c r="F461" s="1">
        <v>2752.73</v>
      </c>
      <c r="G461">
        <v>5</v>
      </c>
      <c r="H461" s="1">
        <v>439.06</v>
      </c>
      <c r="I461" t="s">
        <v>14</v>
      </c>
      <c r="J461">
        <f>YEAR(Retail_Data[Order_Date])</f>
        <v>2024</v>
      </c>
      <c r="K461" t="str">
        <f>TEXT(Retail_Data[Order_Date],"MMM")</f>
        <v>Nov</v>
      </c>
    </row>
    <row r="462" spans="1:11" x14ac:dyDescent="0.3">
      <c r="A462" t="s">
        <v>761</v>
      </c>
      <c r="B462" t="s">
        <v>402</v>
      </c>
      <c r="C462" t="s">
        <v>49</v>
      </c>
      <c r="D462" t="s">
        <v>12</v>
      </c>
      <c r="E462" t="s">
        <v>22</v>
      </c>
      <c r="F462" s="1">
        <v>28875.77</v>
      </c>
      <c r="G462">
        <v>10</v>
      </c>
      <c r="H462" s="1">
        <v>6350.6</v>
      </c>
      <c r="I462" t="s">
        <v>23</v>
      </c>
      <c r="J462">
        <f>YEAR(Retail_Data[Order_Date])</f>
        <v>2024</v>
      </c>
      <c r="K462" t="str">
        <f>TEXT(Retail_Data[Order_Date],"MMM")</f>
        <v>Oct</v>
      </c>
    </row>
    <row r="463" spans="1:11" x14ac:dyDescent="0.3">
      <c r="A463" t="s">
        <v>762</v>
      </c>
      <c r="B463" t="s">
        <v>532</v>
      </c>
      <c r="C463" t="s">
        <v>26</v>
      </c>
      <c r="D463" t="s">
        <v>12</v>
      </c>
      <c r="E463" t="s">
        <v>22</v>
      </c>
      <c r="F463" s="1">
        <v>14313.41</v>
      </c>
      <c r="G463">
        <v>7</v>
      </c>
      <c r="H463" s="1">
        <v>861.33</v>
      </c>
      <c r="I463" t="s">
        <v>23</v>
      </c>
      <c r="J463">
        <f>YEAR(Retail_Data[Order_Date])</f>
        <v>2024</v>
      </c>
      <c r="K463" t="str">
        <f>TEXT(Retail_Data[Order_Date],"MMM")</f>
        <v>Dec</v>
      </c>
    </row>
    <row r="464" spans="1:11" x14ac:dyDescent="0.3">
      <c r="A464" t="s">
        <v>763</v>
      </c>
      <c r="B464" t="s">
        <v>362</v>
      </c>
      <c r="C464" t="s">
        <v>49</v>
      </c>
      <c r="D464" t="s">
        <v>12</v>
      </c>
      <c r="E464" t="s">
        <v>27</v>
      </c>
      <c r="F464" s="1">
        <v>9939.99</v>
      </c>
      <c r="G464">
        <v>8</v>
      </c>
      <c r="H464" s="1">
        <v>1571.36</v>
      </c>
      <c r="I464" t="s">
        <v>23</v>
      </c>
      <c r="J464">
        <f>YEAR(Retail_Data[Order_Date])</f>
        <v>2024</v>
      </c>
      <c r="K464" t="str">
        <f>TEXT(Retail_Data[Order_Date],"MMM")</f>
        <v>Jul</v>
      </c>
    </row>
    <row r="465" spans="1:11" x14ac:dyDescent="0.3">
      <c r="A465" t="s">
        <v>764</v>
      </c>
      <c r="B465" t="s">
        <v>546</v>
      </c>
      <c r="C465" t="s">
        <v>11</v>
      </c>
      <c r="D465" t="s">
        <v>12</v>
      </c>
      <c r="E465" t="s">
        <v>22</v>
      </c>
      <c r="F465" s="1">
        <v>28748.32</v>
      </c>
      <c r="G465">
        <v>6</v>
      </c>
      <c r="H465" s="1">
        <v>2715.26</v>
      </c>
      <c r="I465" t="s">
        <v>35</v>
      </c>
      <c r="J465">
        <f>YEAR(Retail_Data[Order_Date])</f>
        <v>2024</v>
      </c>
      <c r="K465" t="str">
        <f>TEXT(Retail_Data[Order_Date],"MMM")</f>
        <v>Oct</v>
      </c>
    </row>
    <row r="466" spans="1:11" x14ac:dyDescent="0.3">
      <c r="A466" t="s">
        <v>765</v>
      </c>
      <c r="B466" t="s">
        <v>606</v>
      </c>
      <c r="C466" t="s">
        <v>141</v>
      </c>
      <c r="D466" t="s">
        <v>39</v>
      </c>
      <c r="E466" t="s">
        <v>27</v>
      </c>
      <c r="F466" s="1">
        <v>16164.05</v>
      </c>
      <c r="G466">
        <v>2</v>
      </c>
      <c r="H466" s="1">
        <v>1933.17</v>
      </c>
      <c r="I466" t="s">
        <v>23</v>
      </c>
      <c r="J466">
        <f>YEAR(Retail_Data[Order_Date])</f>
        <v>2024</v>
      </c>
      <c r="K466" t="str">
        <f>TEXT(Retail_Data[Order_Date],"MMM")</f>
        <v>Sep</v>
      </c>
    </row>
    <row r="467" spans="1:11" x14ac:dyDescent="0.3">
      <c r="A467" t="s">
        <v>766</v>
      </c>
      <c r="B467" t="s">
        <v>767</v>
      </c>
      <c r="C467" t="s">
        <v>62</v>
      </c>
      <c r="D467" t="s">
        <v>34</v>
      </c>
      <c r="E467" t="s">
        <v>13</v>
      </c>
      <c r="F467" s="1">
        <v>47058.97</v>
      </c>
      <c r="G467">
        <v>8</v>
      </c>
      <c r="H467" s="1">
        <v>6905.2</v>
      </c>
      <c r="I467" t="s">
        <v>14</v>
      </c>
      <c r="J467">
        <f>YEAR(Retail_Data[Order_Date])</f>
        <v>2024</v>
      </c>
      <c r="K467" t="str">
        <f>TEXT(Retail_Data[Order_Date],"MMM")</f>
        <v>Apr</v>
      </c>
    </row>
    <row r="468" spans="1:11" x14ac:dyDescent="0.3">
      <c r="A468" t="s">
        <v>768</v>
      </c>
      <c r="B468" t="s">
        <v>264</v>
      </c>
      <c r="C468" t="s">
        <v>109</v>
      </c>
      <c r="D468" t="s">
        <v>34</v>
      </c>
      <c r="E468" t="s">
        <v>13</v>
      </c>
      <c r="F468" s="1">
        <v>12269.95</v>
      </c>
      <c r="G468">
        <v>8</v>
      </c>
      <c r="H468" s="1">
        <v>1772.69</v>
      </c>
      <c r="I468" t="s">
        <v>14</v>
      </c>
      <c r="J468">
        <f>YEAR(Retail_Data[Order_Date])</f>
        <v>2024</v>
      </c>
      <c r="K468" t="str">
        <f>TEXT(Retail_Data[Order_Date],"MMM")</f>
        <v>Jun</v>
      </c>
    </row>
    <row r="469" spans="1:11" x14ac:dyDescent="0.3">
      <c r="A469" t="s">
        <v>769</v>
      </c>
      <c r="B469" t="s">
        <v>229</v>
      </c>
      <c r="C469" t="s">
        <v>69</v>
      </c>
      <c r="D469" t="s">
        <v>34</v>
      </c>
      <c r="E469" t="s">
        <v>13</v>
      </c>
      <c r="F469" s="1">
        <v>38978.519999999997</v>
      </c>
      <c r="G469">
        <v>2</v>
      </c>
      <c r="H469" s="1">
        <v>5961.8</v>
      </c>
      <c r="I469" t="s">
        <v>35</v>
      </c>
      <c r="J469">
        <f>YEAR(Retail_Data[Order_Date])</f>
        <v>2024</v>
      </c>
      <c r="K469" t="str">
        <f>TEXT(Retail_Data[Order_Date],"MMM")</f>
        <v>Jan</v>
      </c>
    </row>
    <row r="470" spans="1:11" x14ac:dyDescent="0.3">
      <c r="A470" t="s">
        <v>770</v>
      </c>
      <c r="B470" t="s">
        <v>113</v>
      </c>
      <c r="C470" t="s">
        <v>38</v>
      </c>
      <c r="D470" t="s">
        <v>39</v>
      </c>
      <c r="E470" t="s">
        <v>27</v>
      </c>
      <c r="F470" s="1">
        <v>18815.73</v>
      </c>
      <c r="G470">
        <v>5</v>
      </c>
      <c r="H470" s="1">
        <v>3587.15</v>
      </c>
      <c r="I470" t="s">
        <v>14</v>
      </c>
      <c r="J470">
        <f>YEAR(Retail_Data[Order_Date])</f>
        <v>2024</v>
      </c>
      <c r="K470" t="str">
        <f>TEXT(Retail_Data[Order_Date],"MMM")</f>
        <v>Jan</v>
      </c>
    </row>
    <row r="471" spans="1:11" x14ac:dyDescent="0.3">
      <c r="A471" t="s">
        <v>771</v>
      </c>
      <c r="B471" t="s">
        <v>96</v>
      </c>
      <c r="C471" t="s">
        <v>33</v>
      </c>
      <c r="D471" t="s">
        <v>34</v>
      </c>
      <c r="E471" t="s">
        <v>57</v>
      </c>
      <c r="F471" s="1">
        <v>9078.2099999999991</v>
      </c>
      <c r="G471">
        <v>3</v>
      </c>
      <c r="H471" s="1">
        <v>1676.04</v>
      </c>
      <c r="I471" t="s">
        <v>23</v>
      </c>
      <c r="J471">
        <f>YEAR(Retail_Data[Order_Date])</f>
        <v>2024</v>
      </c>
      <c r="K471" t="str">
        <f>TEXT(Retail_Data[Order_Date],"MMM")</f>
        <v>Nov</v>
      </c>
    </row>
    <row r="472" spans="1:11" x14ac:dyDescent="0.3">
      <c r="A472" t="s">
        <v>772</v>
      </c>
      <c r="B472" t="s">
        <v>773</v>
      </c>
      <c r="C472" t="s">
        <v>26</v>
      </c>
      <c r="D472" t="s">
        <v>12</v>
      </c>
      <c r="E472" t="s">
        <v>27</v>
      </c>
      <c r="F472" s="1">
        <v>35761.78</v>
      </c>
      <c r="G472">
        <v>6</v>
      </c>
      <c r="H472" s="1">
        <v>3553.44</v>
      </c>
      <c r="I472" t="s">
        <v>14</v>
      </c>
      <c r="J472">
        <f>YEAR(Retail_Data[Order_Date])</f>
        <v>2024</v>
      </c>
      <c r="K472" t="str">
        <f>TEXT(Retail_Data[Order_Date],"MMM")</f>
        <v>Apr</v>
      </c>
    </row>
    <row r="473" spans="1:11" x14ac:dyDescent="0.3">
      <c r="A473" t="s">
        <v>774</v>
      </c>
      <c r="B473" t="s">
        <v>16</v>
      </c>
      <c r="C473" t="s">
        <v>44</v>
      </c>
      <c r="D473" t="s">
        <v>39</v>
      </c>
      <c r="E473" t="s">
        <v>13</v>
      </c>
      <c r="F473" s="1">
        <v>13453.15</v>
      </c>
      <c r="G473">
        <v>2</v>
      </c>
      <c r="H473" s="1">
        <v>3111.7</v>
      </c>
      <c r="I473" t="s">
        <v>14</v>
      </c>
      <c r="J473">
        <f>YEAR(Retail_Data[Order_Date])</f>
        <v>2024</v>
      </c>
      <c r="K473" t="str">
        <f>TEXT(Retail_Data[Order_Date],"MMM")</f>
        <v>Jul</v>
      </c>
    </row>
    <row r="474" spans="1:11" x14ac:dyDescent="0.3">
      <c r="A474" t="s">
        <v>775</v>
      </c>
      <c r="B474" t="s">
        <v>115</v>
      </c>
      <c r="C474" t="s">
        <v>21</v>
      </c>
      <c r="D474" t="s">
        <v>18</v>
      </c>
      <c r="E474" t="s">
        <v>22</v>
      </c>
      <c r="F474" s="1">
        <v>8840.4699999999993</v>
      </c>
      <c r="G474">
        <v>8</v>
      </c>
      <c r="H474" s="1">
        <v>539.05999999999995</v>
      </c>
      <c r="I474" t="s">
        <v>35</v>
      </c>
      <c r="J474">
        <f>YEAR(Retail_Data[Order_Date])</f>
        <v>2024</v>
      </c>
      <c r="K474" t="str">
        <f>TEXT(Retail_Data[Order_Date],"MMM")</f>
        <v>Apr</v>
      </c>
    </row>
    <row r="475" spans="1:11" x14ac:dyDescent="0.3">
      <c r="A475" t="s">
        <v>776</v>
      </c>
      <c r="B475" t="s">
        <v>249</v>
      </c>
      <c r="C475" t="s">
        <v>93</v>
      </c>
      <c r="D475" t="s">
        <v>39</v>
      </c>
      <c r="E475" t="s">
        <v>57</v>
      </c>
      <c r="F475" s="1">
        <v>2259.2399999999998</v>
      </c>
      <c r="G475">
        <v>7</v>
      </c>
      <c r="H475" s="1">
        <v>556.15</v>
      </c>
      <c r="I475" t="s">
        <v>23</v>
      </c>
      <c r="J475">
        <f>YEAR(Retail_Data[Order_Date])</f>
        <v>2024</v>
      </c>
      <c r="K475" t="str">
        <f>TEXT(Retail_Data[Order_Date],"MMM")</f>
        <v>May</v>
      </c>
    </row>
    <row r="476" spans="1:11" x14ac:dyDescent="0.3">
      <c r="A476" t="s">
        <v>777</v>
      </c>
      <c r="B476" t="s">
        <v>767</v>
      </c>
      <c r="C476" t="s">
        <v>21</v>
      </c>
      <c r="D476" t="s">
        <v>18</v>
      </c>
      <c r="E476" t="s">
        <v>57</v>
      </c>
      <c r="F476" s="1">
        <v>25916.37</v>
      </c>
      <c r="G476">
        <v>6</v>
      </c>
      <c r="H476" s="1">
        <v>4041.45</v>
      </c>
      <c r="I476" t="s">
        <v>35</v>
      </c>
      <c r="J476">
        <f>YEAR(Retail_Data[Order_Date])</f>
        <v>2024</v>
      </c>
      <c r="K476" t="str">
        <f>TEXT(Retail_Data[Order_Date],"MMM")</f>
        <v>Apr</v>
      </c>
    </row>
    <row r="477" spans="1:11" x14ac:dyDescent="0.3">
      <c r="A477" t="s">
        <v>778</v>
      </c>
      <c r="B477" t="s">
        <v>216</v>
      </c>
      <c r="C477" t="s">
        <v>49</v>
      </c>
      <c r="D477" t="s">
        <v>12</v>
      </c>
      <c r="E477" t="s">
        <v>13</v>
      </c>
      <c r="F477" s="1">
        <v>26623.05</v>
      </c>
      <c r="G477">
        <v>4</v>
      </c>
      <c r="H477" s="1">
        <v>2928.06</v>
      </c>
      <c r="I477" t="s">
        <v>35</v>
      </c>
      <c r="J477">
        <f>YEAR(Retail_Data[Order_Date])</f>
        <v>2024</v>
      </c>
      <c r="K477" t="str">
        <f>TEXT(Retail_Data[Order_Date],"MMM")</f>
        <v>Apr</v>
      </c>
    </row>
    <row r="478" spans="1:11" x14ac:dyDescent="0.3">
      <c r="A478" t="s">
        <v>779</v>
      </c>
      <c r="B478" t="s">
        <v>130</v>
      </c>
      <c r="C478" t="s">
        <v>93</v>
      </c>
      <c r="D478" t="s">
        <v>39</v>
      </c>
      <c r="E478" t="s">
        <v>13</v>
      </c>
      <c r="F478" s="1">
        <v>12930.74</v>
      </c>
      <c r="G478">
        <v>10</v>
      </c>
      <c r="H478" s="1">
        <v>2527.02</v>
      </c>
      <c r="I478" t="s">
        <v>23</v>
      </c>
      <c r="J478">
        <f>YEAR(Retail_Data[Order_Date])</f>
        <v>2024</v>
      </c>
      <c r="K478" t="str">
        <f>TEXT(Retail_Data[Order_Date],"MMM")</f>
        <v>Feb</v>
      </c>
    </row>
    <row r="479" spans="1:11" x14ac:dyDescent="0.3">
      <c r="A479" t="s">
        <v>780</v>
      </c>
      <c r="B479" t="s">
        <v>781</v>
      </c>
      <c r="C479" t="s">
        <v>38</v>
      </c>
      <c r="D479" t="s">
        <v>39</v>
      </c>
      <c r="E479" t="s">
        <v>57</v>
      </c>
      <c r="F479" s="1">
        <v>6387.69</v>
      </c>
      <c r="G479">
        <v>8</v>
      </c>
      <c r="H479" s="1">
        <v>1441.23</v>
      </c>
      <c r="I479" t="s">
        <v>35</v>
      </c>
      <c r="J479">
        <f>YEAR(Retail_Data[Order_Date])</f>
        <v>2024</v>
      </c>
      <c r="K479" t="str">
        <f>TEXT(Retail_Data[Order_Date],"MMM")</f>
        <v>Jun</v>
      </c>
    </row>
    <row r="480" spans="1:11" x14ac:dyDescent="0.3">
      <c r="A480" t="s">
        <v>782</v>
      </c>
      <c r="B480" t="s">
        <v>606</v>
      </c>
      <c r="C480" t="s">
        <v>44</v>
      </c>
      <c r="D480" t="s">
        <v>39</v>
      </c>
      <c r="E480" t="s">
        <v>57</v>
      </c>
      <c r="F480" s="1">
        <v>12399.52</v>
      </c>
      <c r="G480">
        <v>8</v>
      </c>
      <c r="H480" s="1">
        <v>737.27</v>
      </c>
      <c r="I480" t="s">
        <v>23</v>
      </c>
      <c r="J480">
        <f>YEAR(Retail_Data[Order_Date])</f>
        <v>2024</v>
      </c>
      <c r="K480" t="str">
        <f>TEXT(Retail_Data[Order_Date],"MMM")</f>
        <v>Sep</v>
      </c>
    </row>
    <row r="481" spans="1:11" x14ac:dyDescent="0.3">
      <c r="A481" t="s">
        <v>783</v>
      </c>
      <c r="B481" t="s">
        <v>184</v>
      </c>
      <c r="C481" t="s">
        <v>21</v>
      </c>
      <c r="D481" t="s">
        <v>18</v>
      </c>
      <c r="E481" t="s">
        <v>27</v>
      </c>
      <c r="F481" s="1">
        <v>34604.01</v>
      </c>
      <c r="G481">
        <v>1</v>
      </c>
      <c r="H481" s="1">
        <v>4342.17</v>
      </c>
      <c r="I481" t="s">
        <v>23</v>
      </c>
      <c r="J481">
        <f>YEAR(Retail_Data[Order_Date])</f>
        <v>2024</v>
      </c>
      <c r="K481" t="str">
        <f>TEXT(Retail_Data[Order_Date],"MMM")</f>
        <v>Dec</v>
      </c>
    </row>
    <row r="482" spans="1:11" x14ac:dyDescent="0.3">
      <c r="A482" t="s">
        <v>784</v>
      </c>
      <c r="B482" t="s">
        <v>59</v>
      </c>
      <c r="C482" t="s">
        <v>93</v>
      </c>
      <c r="D482" t="s">
        <v>39</v>
      </c>
      <c r="E482" t="s">
        <v>57</v>
      </c>
      <c r="F482" s="1">
        <v>47360.49</v>
      </c>
      <c r="G482">
        <v>4</v>
      </c>
      <c r="H482" s="1">
        <v>7954.73</v>
      </c>
      <c r="I482" t="s">
        <v>23</v>
      </c>
      <c r="J482">
        <f>YEAR(Retail_Data[Order_Date])</f>
        <v>2024</v>
      </c>
      <c r="K482" t="str">
        <f>TEXT(Retail_Data[Order_Date],"MMM")</f>
        <v>Aug</v>
      </c>
    </row>
    <row r="483" spans="1:11" x14ac:dyDescent="0.3">
      <c r="A483" t="s">
        <v>785</v>
      </c>
      <c r="B483" t="s">
        <v>786</v>
      </c>
      <c r="C483" t="s">
        <v>33</v>
      </c>
      <c r="D483" t="s">
        <v>34</v>
      </c>
      <c r="E483" t="s">
        <v>13</v>
      </c>
      <c r="F483" s="1">
        <v>1308.43</v>
      </c>
      <c r="G483">
        <v>10</v>
      </c>
      <c r="H483" s="1">
        <v>320.05</v>
      </c>
      <c r="I483" t="s">
        <v>23</v>
      </c>
      <c r="J483">
        <f>YEAR(Retail_Data[Order_Date])</f>
        <v>2024</v>
      </c>
      <c r="K483" t="str">
        <f>TEXT(Retail_Data[Order_Date],"MMM")</f>
        <v>Jul</v>
      </c>
    </row>
    <row r="484" spans="1:11" x14ac:dyDescent="0.3">
      <c r="A484" t="s">
        <v>787</v>
      </c>
      <c r="B484" t="s">
        <v>788</v>
      </c>
      <c r="C484" t="s">
        <v>109</v>
      </c>
      <c r="D484" t="s">
        <v>34</v>
      </c>
      <c r="E484" t="s">
        <v>57</v>
      </c>
      <c r="F484" s="1">
        <v>46584.58</v>
      </c>
      <c r="G484">
        <v>10</v>
      </c>
      <c r="H484" s="1">
        <v>3790.43</v>
      </c>
      <c r="I484" t="s">
        <v>14</v>
      </c>
      <c r="J484">
        <f>YEAR(Retail_Data[Order_Date])</f>
        <v>2024</v>
      </c>
      <c r="K484" t="str">
        <f>TEXT(Retail_Data[Order_Date],"MMM")</f>
        <v>Aug</v>
      </c>
    </row>
    <row r="485" spans="1:11" x14ac:dyDescent="0.3">
      <c r="A485" t="s">
        <v>789</v>
      </c>
      <c r="B485" t="s">
        <v>104</v>
      </c>
      <c r="C485" t="s">
        <v>33</v>
      </c>
      <c r="D485" t="s">
        <v>34</v>
      </c>
      <c r="E485" t="s">
        <v>57</v>
      </c>
      <c r="F485" s="1">
        <v>45108.3</v>
      </c>
      <c r="G485">
        <v>10</v>
      </c>
      <c r="H485" s="1">
        <v>6908.97</v>
      </c>
      <c r="I485" t="s">
        <v>35</v>
      </c>
      <c r="J485">
        <f>YEAR(Retail_Data[Order_Date])</f>
        <v>2024</v>
      </c>
      <c r="K485" t="str">
        <f>TEXT(Retail_Data[Order_Date],"MMM")</f>
        <v>Dec</v>
      </c>
    </row>
    <row r="486" spans="1:11" x14ac:dyDescent="0.3">
      <c r="A486" t="s">
        <v>790</v>
      </c>
      <c r="B486" t="s">
        <v>280</v>
      </c>
      <c r="C486" t="s">
        <v>11</v>
      </c>
      <c r="D486" t="s">
        <v>12</v>
      </c>
      <c r="E486" t="s">
        <v>22</v>
      </c>
      <c r="F486" s="1">
        <v>39510.959999999999</v>
      </c>
      <c r="G486">
        <v>9</v>
      </c>
      <c r="H486" s="1">
        <v>3180.84</v>
      </c>
      <c r="I486" t="s">
        <v>14</v>
      </c>
      <c r="J486">
        <f>YEAR(Retail_Data[Order_Date])</f>
        <v>2024</v>
      </c>
      <c r="K486" t="str">
        <f>TEXT(Retail_Data[Order_Date],"MMM")</f>
        <v>Dec</v>
      </c>
    </row>
    <row r="487" spans="1:11" x14ac:dyDescent="0.3">
      <c r="A487" t="s">
        <v>791</v>
      </c>
      <c r="B487" t="s">
        <v>229</v>
      </c>
      <c r="C487" t="s">
        <v>30</v>
      </c>
      <c r="D487" t="s">
        <v>12</v>
      </c>
      <c r="E487" t="s">
        <v>27</v>
      </c>
      <c r="F487" s="1">
        <v>9819.51</v>
      </c>
      <c r="G487">
        <v>3</v>
      </c>
      <c r="H487" s="1">
        <v>1408.19</v>
      </c>
      <c r="I487" t="s">
        <v>14</v>
      </c>
      <c r="J487">
        <f>YEAR(Retail_Data[Order_Date])</f>
        <v>2024</v>
      </c>
      <c r="K487" t="str">
        <f>TEXT(Retail_Data[Order_Date],"MMM")</f>
        <v>Jan</v>
      </c>
    </row>
    <row r="488" spans="1:11" x14ac:dyDescent="0.3">
      <c r="A488" t="s">
        <v>792</v>
      </c>
      <c r="B488" t="s">
        <v>293</v>
      </c>
      <c r="C488" t="s">
        <v>93</v>
      </c>
      <c r="D488" t="s">
        <v>39</v>
      </c>
      <c r="E488" t="s">
        <v>27</v>
      </c>
      <c r="F488" s="1">
        <v>14744.45</v>
      </c>
      <c r="G488">
        <v>1</v>
      </c>
      <c r="H488" s="1">
        <v>1909.86</v>
      </c>
      <c r="I488" t="s">
        <v>14</v>
      </c>
      <c r="J488">
        <f>YEAR(Retail_Data[Order_Date])</f>
        <v>2024</v>
      </c>
      <c r="K488" t="str">
        <f>TEXT(Retail_Data[Order_Date],"MMM")</f>
        <v>Jul</v>
      </c>
    </row>
    <row r="489" spans="1:11" x14ac:dyDescent="0.3">
      <c r="A489" t="s">
        <v>793</v>
      </c>
      <c r="B489" t="s">
        <v>781</v>
      </c>
      <c r="C489" t="s">
        <v>44</v>
      </c>
      <c r="D489" t="s">
        <v>39</v>
      </c>
      <c r="E489" t="s">
        <v>13</v>
      </c>
      <c r="F489" s="1">
        <v>10461.09</v>
      </c>
      <c r="G489">
        <v>8</v>
      </c>
      <c r="H489" s="1">
        <v>1540.4</v>
      </c>
      <c r="I489" t="s">
        <v>35</v>
      </c>
      <c r="J489">
        <f>YEAR(Retail_Data[Order_Date])</f>
        <v>2024</v>
      </c>
      <c r="K489" t="str">
        <f>TEXT(Retail_Data[Order_Date],"MMM")</f>
        <v>Jun</v>
      </c>
    </row>
    <row r="490" spans="1:11" x14ac:dyDescent="0.3">
      <c r="A490" t="s">
        <v>794</v>
      </c>
      <c r="B490" t="s">
        <v>451</v>
      </c>
      <c r="C490" t="s">
        <v>62</v>
      </c>
      <c r="D490" t="s">
        <v>34</v>
      </c>
      <c r="E490" t="s">
        <v>22</v>
      </c>
      <c r="F490" s="1">
        <v>13602.2</v>
      </c>
      <c r="G490">
        <v>1</v>
      </c>
      <c r="H490" s="1">
        <v>2289.9699999999998</v>
      </c>
      <c r="I490" t="s">
        <v>14</v>
      </c>
      <c r="J490">
        <f>YEAR(Retail_Data[Order_Date])</f>
        <v>2024</v>
      </c>
      <c r="K490" t="str">
        <f>TEXT(Retail_Data[Order_Date],"MMM")</f>
        <v>Jul</v>
      </c>
    </row>
    <row r="491" spans="1:11" x14ac:dyDescent="0.3">
      <c r="A491" t="s">
        <v>795</v>
      </c>
      <c r="B491" t="s">
        <v>479</v>
      </c>
      <c r="C491" t="s">
        <v>33</v>
      </c>
      <c r="D491" t="s">
        <v>34</v>
      </c>
      <c r="E491" t="s">
        <v>57</v>
      </c>
      <c r="F491" s="1">
        <v>23868.7</v>
      </c>
      <c r="G491">
        <v>9</v>
      </c>
      <c r="H491" s="1">
        <v>4326.28</v>
      </c>
      <c r="I491" t="s">
        <v>14</v>
      </c>
      <c r="J491">
        <f>YEAR(Retail_Data[Order_Date])</f>
        <v>2024</v>
      </c>
      <c r="K491" t="str">
        <f>TEXT(Retail_Data[Order_Date],"MMM")</f>
        <v>Feb</v>
      </c>
    </row>
    <row r="492" spans="1:11" x14ac:dyDescent="0.3">
      <c r="A492" t="s">
        <v>796</v>
      </c>
      <c r="B492" t="s">
        <v>143</v>
      </c>
      <c r="C492" t="s">
        <v>109</v>
      </c>
      <c r="D492" t="s">
        <v>34</v>
      </c>
      <c r="E492" t="s">
        <v>27</v>
      </c>
      <c r="F492" s="1">
        <v>21608.87</v>
      </c>
      <c r="G492">
        <v>2</v>
      </c>
      <c r="H492" s="1">
        <v>3208.56</v>
      </c>
      <c r="I492" t="s">
        <v>35</v>
      </c>
      <c r="J492">
        <f>YEAR(Retail_Data[Order_Date])</f>
        <v>2024</v>
      </c>
      <c r="K492" t="str">
        <f>TEXT(Retail_Data[Order_Date],"MMM")</f>
        <v>Nov</v>
      </c>
    </row>
    <row r="493" spans="1:11" x14ac:dyDescent="0.3">
      <c r="A493" t="s">
        <v>797</v>
      </c>
      <c r="B493" t="s">
        <v>798</v>
      </c>
      <c r="C493" t="s">
        <v>21</v>
      </c>
      <c r="D493" t="s">
        <v>18</v>
      </c>
      <c r="E493" t="s">
        <v>57</v>
      </c>
      <c r="F493" s="1">
        <v>32588.06</v>
      </c>
      <c r="G493">
        <v>9</v>
      </c>
      <c r="H493" s="1">
        <v>7047.25</v>
      </c>
      <c r="I493" t="s">
        <v>23</v>
      </c>
      <c r="J493">
        <f>YEAR(Retail_Data[Order_Date])</f>
        <v>2024</v>
      </c>
      <c r="K493" t="str">
        <f>TEXT(Retail_Data[Order_Date],"MMM")</f>
        <v>Jun</v>
      </c>
    </row>
    <row r="494" spans="1:11" x14ac:dyDescent="0.3">
      <c r="A494" t="s">
        <v>799</v>
      </c>
      <c r="B494" t="s">
        <v>68</v>
      </c>
      <c r="C494" t="s">
        <v>54</v>
      </c>
      <c r="D494" t="s">
        <v>18</v>
      </c>
      <c r="E494" t="s">
        <v>13</v>
      </c>
      <c r="F494" s="1">
        <v>36785.980000000003</v>
      </c>
      <c r="G494">
        <v>10</v>
      </c>
      <c r="H494" s="1">
        <v>3394.05</v>
      </c>
      <c r="I494" t="s">
        <v>14</v>
      </c>
      <c r="J494">
        <f>YEAR(Retail_Data[Order_Date])</f>
        <v>2024</v>
      </c>
      <c r="K494" t="str">
        <f>TEXT(Retail_Data[Order_Date],"MMM")</f>
        <v>Jun</v>
      </c>
    </row>
    <row r="495" spans="1:11" x14ac:dyDescent="0.3">
      <c r="A495" t="s">
        <v>800</v>
      </c>
      <c r="B495" t="s">
        <v>78</v>
      </c>
      <c r="C495" t="s">
        <v>141</v>
      </c>
      <c r="D495" t="s">
        <v>39</v>
      </c>
      <c r="E495" t="s">
        <v>57</v>
      </c>
      <c r="F495" s="1">
        <v>12603.44</v>
      </c>
      <c r="G495">
        <v>1</v>
      </c>
      <c r="H495" s="1">
        <v>1563.07</v>
      </c>
      <c r="I495" t="s">
        <v>14</v>
      </c>
      <c r="J495">
        <f>YEAR(Retail_Data[Order_Date])</f>
        <v>2024</v>
      </c>
      <c r="K495" t="str">
        <f>TEXT(Retail_Data[Order_Date],"MMM")</f>
        <v>Jun</v>
      </c>
    </row>
    <row r="496" spans="1:11" x14ac:dyDescent="0.3">
      <c r="A496" t="s">
        <v>801</v>
      </c>
      <c r="B496" t="s">
        <v>71</v>
      </c>
      <c r="C496" t="s">
        <v>69</v>
      </c>
      <c r="D496" t="s">
        <v>34</v>
      </c>
      <c r="E496" t="s">
        <v>22</v>
      </c>
      <c r="F496" s="1">
        <v>48861.95</v>
      </c>
      <c r="G496">
        <v>4</v>
      </c>
      <c r="H496" s="1">
        <v>8216.09</v>
      </c>
      <c r="I496" t="s">
        <v>35</v>
      </c>
      <c r="J496">
        <f>YEAR(Retail_Data[Order_Date])</f>
        <v>2024</v>
      </c>
      <c r="K496" t="str">
        <f>TEXT(Retail_Data[Order_Date],"MMM")</f>
        <v>May</v>
      </c>
    </row>
    <row r="497" spans="1:11" x14ac:dyDescent="0.3">
      <c r="A497" t="s">
        <v>802</v>
      </c>
      <c r="B497" t="s">
        <v>803</v>
      </c>
      <c r="C497" t="s">
        <v>109</v>
      </c>
      <c r="D497" t="s">
        <v>34</v>
      </c>
      <c r="E497" t="s">
        <v>27</v>
      </c>
      <c r="F497" s="1">
        <v>24755.73</v>
      </c>
      <c r="G497">
        <v>2</v>
      </c>
      <c r="H497" s="1">
        <v>3380.46</v>
      </c>
      <c r="I497" t="s">
        <v>14</v>
      </c>
      <c r="J497">
        <f>YEAR(Retail_Data[Order_Date])</f>
        <v>2024</v>
      </c>
      <c r="K497" t="str">
        <f>TEXT(Retail_Data[Order_Date],"MMM")</f>
        <v>May</v>
      </c>
    </row>
    <row r="498" spans="1:11" x14ac:dyDescent="0.3">
      <c r="A498" t="s">
        <v>804</v>
      </c>
      <c r="B498" t="s">
        <v>262</v>
      </c>
      <c r="C498" t="s">
        <v>33</v>
      </c>
      <c r="D498" t="s">
        <v>34</v>
      </c>
      <c r="E498" t="s">
        <v>13</v>
      </c>
      <c r="F498" s="1">
        <v>16782.91</v>
      </c>
      <c r="G498">
        <v>9</v>
      </c>
      <c r="H498" s="1">
        <v>1658.89</v>
      </c>
      <c r="I498" t="s">
        <v>35</v>
      </c>
      <c r="J498">
        <f>YEAR(Retail_Data[Order_Date])</f>
        <v>2024</v>
      </c>
      <c r="K498" t="str">
        <f>TEXT(Retail_Data[Order_Date],"MMM")</f>
        <v>Jan</v>
      </c>
    </row>
    <row r="499" spans="1:11" x14ac:dyDescent="0.3">
      <c r="A499" t="s">
        <v>805</v>
      </c>
      <c r="B499" t="s">
        <v>625</v>
      </c>
      <c r="C499" t="s">
        <v>21</v>
      </c>
      <c r="D499" t="s">
        <v>18</v>
      </c>
      <c r="E499" t="s">
        <v>57</v>
      </c>
      <c r="F499" s="1">
        <v>32160.89</v>
      </c>
      <c r="G499">
        <v>2</v>
      </c>
      <c r="H499" s="1">
        <v>2202.16</v>
      </c>
      <c r="I499" t="s">
        <v>35</v>
      </c>
      <c r="J499">
        <f>YEAR(Retail_Data[Order_Date])</f>
        <v>2024</v>
      </c>
      <c r="K499" t="str">
        <f>TEXT(Retail_Data[Order_Date],"MMM")</f>
        <v>Mar</v>
      </c>
    </row>
    <row r="500" spans="1:11" x14ac:dyDescent="0.3">
      <c r="A500" t="s">
        <v>806</v>
      </c>
      <c r="B500" t="s">
        <v>807</v>
      </c>
      <c r="C500" t="s">
        <v>11</v>
      </c>
      <c r="D500" t="s">
        <v>12</v>
      </c>
      <c r="E500" t="s">
        <v>22</v>
      </c>
      <c r="F500" s="1">
        <v>19653.28</v>
      </c>
      <c r="G500">
        <v>10</v>
      </c>
      <c r="H500" s="1">
        <v>2723.72</v>
      </c>
      <c r="I500" t="s">
        <v>23</v>
      </c>
      <c r="J500">
        <f>YEAR(Retail_Data[Order_Date])</f>
        <v>2024</v>
      </c>
      <c r="K500" t="str">
        <f>TEXT(Retail_Data[Order_Date],"MMM")</f>
        <v>Aug</v>
      </c>
    </row>
    <row r="501" spans="1:11" x14ac:dyDescent="0.3">
      <c r="A501" t="s">
        <v>808</v>
      </c>
      <c r="B501" t="s">
        <v>266</v>
      </c>
      <c r="C501" t="s">
        <v>26</v>
      </c>
      <c r="D501" t="s">
        <v>12</v>
      </c>
      <c r="E501" t="s">
        <v>13</v>
      </c>
      <c r="F501" s="1">
        <v>32516.15</v>
      </c>
      <c r="G501">
        <v>3</v>
      </c>
      <c r="H501" s="1">
        <v>4479.8100000000004</v>
      </c>
      <c r="I501" t="s">
        <v>23</v>
      </c>
      <c r="J501">
        <f>YEAR(Retail_Data[Order_Date])</f>
        <v>2024</v>
      </c>
      <c r="K501" t="str">
        <f>TEXT(Retail_Data[Order_Date],"MMM")</f>
        <v>Mar</v>
      </c>
    </row>
  </sheetData>
  <pageMargins left="0.75" right="0.75" top="1" bottom="1" header="0.5" footer="0.5"/>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data</vt:lpstr>
      <vt:lpstr>Retail_Data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Aravindhan S</cp:lastModifiedBy>
  <dcterms:created xsi:type="dcterms:W3CDTF">2026-02-09T10:03:58Z</dcterms:created>
  <dcterms:modified xsi:type="dcterms:W3CDTF">2026-02-17T02:57:30Z</dcterms:modified>
</cp:coreProperties>
</file>